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nebim185\Desktop\VBA-Excel\"/>
    </mc:Choice>
  </mc:AlternateContent>
  <xr:revisionPtr revIDLastSave="0" documentId="13_ncr:1_{662894D5-8ED2-481E-80F3-FDDB9C43B38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arameters" sheetId="16" r:id="rId1"/>
    <sheet name="DailyReportTotal" sheetId="18" r:id="rId2"/>
    <sheet name="DailyReportPerBranch" sheetId="17" r:id="rId3"/>
    <sheet name="Consolidated Graphs" sheetId="19" r:id="rId4"/>
    <sheet name="DelinquencyPerSector" sheetId="23" r:id="rId5"/>
    <sheet name="PAR30" sheetId="20" state="hidden" r:id="rId6"/>
    <sheet name="PAR90" sheetId="24" state="hidden" r:id="rId7"/>
    <sheet name="Performance Projection" sheetId="25" state="hidden" r:id="rId8"/>
    <sheet name="PAR1" sheetId="22" state="hidden" r:id="rId9"/>
  </sheets>
  <functionGroups builtInGroupCount="19"/>
  <externalReferences>
    <externalReference r:id="rId10"/>
  </externalReferences>
  <definedNames>
    <definedName name="NM_COMPULSERY_SAVING">Parameters!$D$12</definedName>
    <definedName name="NM_DB_NAME_DAILY_CONSO">Parameters!$B$7</definedName>
    <definedName name="NM_DB_NAME_DAILY_DOWNTOWN">Parameters!$B$8</definedName>
    <definedName name="NM_DB_SERVER">Parameters!$B$6</definedName>
    <definedName name="NM_OTHER_SAVINGS_ACCOUNT">Parameters!$D$13</definedName>
    <definedName name="NM_PRODUCT_TOTAL_SAVINGS" localSheetId="4">[1]Parameters!#REF!</definedName>
    <definedName name="NM_PRODUCT_TOTAL_SAVINGS">Parameters!#REF!</definedName>
    <definedName name="NM_PRODUCTS_NUMBER_OF_ACCOUNTS" localSheetId="4">[1]Parameters!#REF!</definedName>
    <definedName name="NM_PRODUCTS_NUMBER_OF_ACCOUNTS">Parameters!#REF!</definedName>
    <definedName name="NM_PRODUCTS_TOTAL_SAVINGS" localSheetId="4">[1]Parameters!#REF!</definedName>
    <definedName name="NM_PRODUCTS_TOTAL_SAVINGS">Parameters!#REF!</definedName>
    <definedName name="NM_REG_SAVINGS">Parameters!$D$10</definedName>
    <definedName name="NM_TERM_DEPOSIT">Parameters!$D$11</definedName>
    <definedName name="PREV_DATE">Parameters!$F$6</definedName>
    <definedName name="_xlnm.Print_Area" localSheetId="3">'Consolidated Graphs'!$A$1:$AB$41</definedName>
    <definedName name="TODATE">Parameters!$F$7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8" i="18" l="1"/>
  <c r="G17" i="18"/>
  <c r="F18" i="18" l="1"/>
  <c r="F17" i="18"/>
  <c r="E18" i="18" l="1"/>
  <c r="E17" i="18"/>
  <c r="D18" i="18" l="1"/>
  <c r="D17" i="18"/>
  <c r="C18" i="18" l="1"/>
  <c r="C17" i="18"/>
  <c r="H2" i="18" l="1"/>
  <c r="H18" i="18" s="1"/>
  <c r="H11" i="18" l="1"/>
  <c r="H3" i="18"/>
  <c r="H12" i="18"/>
  <c r="H4" i="18"/>
  <c r="H13" i="18"/>
  <c r="H5" i="18"/>
  <c r="H14" i="18"/>
  <c r="H9" i="18"/>
  <c r="H17" i="18"/>
  <c r="Z35" i="19" s="1"/>
  <c r="H6" i="18"/>
  <c r="H15" i="18"/>
  <c r="H8" i="18"/>
  <c r="H16" i="18"/>
  <c r="H10" i="18"/>
  <c r="H19" i="18" l="1"/>
  <c r="N1" i="19" l="1"/>
  <c r="G17" i="24" l="1"/>
  <c r="F16" i="24"/>
  <c r="I6" i="24" l="1"/>
  <c r="Y35" i="19" l="1"/>
  <c r="Z38" i="19"/>
  <c r="E2" i="24"/>
  <c r="J35" i="19"/>
  <c r="R35" i="19"/>
  <c r="R37" i="19" s="1"/>
  <c r="N35" i="19"/>
  <c r="P35" i="19"/>
  <c r="L35" i="19"/>
  <c r="L38" i="19" s="1"/>
  <c r="T35" i="19" l="1"/>
  <c r="T37" i="19" s="1"/>
  <c r="E2" i="20"/>
  <c r="P37" i="19"/>
  <c r="N37" i="19"/>
  <c r="N38" i="19"/>
  <c r="V35" i="19"/>
  <c r="V37" i="19" s="1"/>
  <c r="D6" i="24"/>
  <c r="Y37" i="19"/>
  <c r="Y38" i="19"/>
  <c r="W35" i="19"/>
  <c r="W37" i="19" s="1"/>
  <c r="J38" i="19"/>
  <c r="J37" i="19"/>
  <c r="Z37" i="19"/>
  <c r="H2" i="17"/>
  <c r="P38" i="19" l="1"/>
  <c r="H10" i="17"/>
  <c r="H12" i="17"/>
  <c r="E13" i="24"/>
  <c r="E10" i="24"/>
  <c r="E6" i="24"/>
  <c r="E7" i="24"/>
  <c r="D8" i="24"/>
  <c r="D9" i="24" s="1"/>
  <c r="H3" i="17"/>
  <c r="H22" i="17"/>
  <c r="H21" i="17"/>
  <c r="H16" i="17"/>
  <c r="H20" i="17"/>
  <c r="H15" i="17"/>
  <c r="H9" i="17"/>
  <c r="H19" i="17"/>
  <c r="H13" i="17"/>
  <c r="H6" i="17"/>
  <c r="H17" i="17"/>
  <c r="H5" i="17"/>
  <c r="H8" i="17"/>
  <c r="H4" i="17"/>
  <c r="H18" i="17"/>
  <c r="H14" i="17"/>
  <c r="H11" i="17"/>
  <c r="H7" i="17"/>
  <c r="F10" i="24" l="1"/>
  <c r="E9" i="24"/>
  <c r="E12" i="24"/>
  <c r="F12" i="24" s="1"/>
  <c r="F13" i="24"/>
  <c r="E8" i="24"/>
  <c r="F8" i="24" s="1"/>
  <c r="F7" i="24"/>
  <c r="F6" i="24"/>
  <c r="J21" i="16"/>
  <c r="E14" i="24" l="1"/>
  <c r="F14" i="24" s="1"/>
  <c r="E11" i="24"/>
  <c r="F11" i="24" s="1"/>
  <c r="F9" i="24"/>
  <c r="D35" i="19"/>
  <c r="H35" i="19"/>
  <c r="F35" i="19"/>
  <c r="B35" i="19"/>
  <c r="E15" i="24" l="1"/>
  <c r="F15" i="24" s="1"/>
  <c r="E2" i="22"/>
  <c r="G17" i="22"/>
  <c r="F16" i="22"/>
  <c r="I5" i="22"/>
  <c r="I6" i="22" s="1"/>
  <c r="G17" i="20"/>
  <c r="F16" i="20"/>
  <c r="I5" i="20"/>
  <c r="I6" i="20" s="1"/>
  <c r="L37" i="19" l="1"/>
  <c r="W38" i="19"/>
  <c r="D6" i="22" l="1"/>
  <c r="E7" i="22" s="1"/>
  <c r="D6" i="20"/>
  <c r="E13" i="20" s="1"/>
  <c r="E10" i="22" l="1"/>
  <c r="E9" i="22" s="1"/>
  <c r="E6" i="22"/>
  <c r="F6" i="22" s="1"/>
  <c r="D8" i="22"/>
  <c r="D9" i="22" s="1"/>
  <c r="E13" i="22"/>
  <c r="F13" i="22" s="1"/>
  <c r="E7" i="20"/>
  <c r="F7" i="20" s="1"/>
  <c r="E10" i="20"/>
  <c r="E9" i="20" s="1"/>
  <c r="D8" i="20"/>
  <c r="D9" i="20" s="1"/>
  <c r="E6" i="20"/>
  <c r="F6" i="20" s="1"/>
  <c r="F7" i="22"/>
  <c r="F13" i="20"/>
  <c r="E12" i="20"/>
  <c r="F12" i="20" s="1"/>
  <c r="F10" i="22" l="1"/>
  <c r="E8" i="22"/>
  <c r="F8" i="22" s="1"/>
  <c r="E12" i="22"/>
  <c r="F12" i="22" s="1"/>
  <c r="F10" i="20"/>
  <c r="E8" i="20"/>
  <c r="F8" i="20" s="1"/>
  <c r="E14" i="20"/>
  <c r="F14" i="20" s="1"/>
  <c r="F9" i="22"/>
  <c r="E11" i="22"/>
  <c r="F11" i="22" s="1"/>
  <c r="F9" i="20"/>
  <c r="E11" i="20"/>
  <c r="F11" i="20" s="1"/>
  <c r="E14" i="22" l="1"/>
  <c r="F14" i="22" s="1"/>
  <c r="E15" i="20"/>
  <c r="F15" i="20" s="1"/>
  <c r="E15" i="22" l="1"/>
  <c r="F15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 Lafond</author>
  </authors>
  <commentList>
    <comment ref="D2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Claude Lafond:</t>
        </r>
        <r>
          <rPr>
            <sz val="9"/>
            <color indexed="81"/>
            <rFont val="Tahoma"/>
            <family val="2"/>
          </rPr>
          <t xml:space="preserve">
3.10 Adding second Branch
</t>
        </r>
        <r>
          <rPr>
            <b/>
            <sz val="9"/>
            <color indexed="81"/>
            <rFont val="Tahoma"/>
            <family val="2"/>
          </rPr>
          <t xml:space="preserve">Chaker Taalba:
</t>
        </r>
        <r>
          <rPr>
            <sz val="9"/>
            <color indexed="81"/>
            <rFont val="Tahoma"/>
            <family val="2"/>
          </rPr>
          <t xml:space="preserve">3.11 Adding Branch cash balance
</t>
        </r>
        <r>
          <rPr>
            <b/>
            <sz val="9"/>
            <color indexed="81"/>
            <rFont val="Tahoma"/>
            <family val="2"/>
          </rPr>
          <t>Claude Lafond:</t>
        </r>
        <r>
          <rPr>
            <sz val="9"/>
            <color indexed="81"/>
            <rFont val="Tahoma"/>
            <family val="2"/>
          </rPr>
          <t xml:space="preserve">
3.13 Adding table in the graph Tab</t>
        </r>
      </text>
    </comment>
  </commentList>
</comments>
</file>

<file path=xl/sharedStrings.xml><?xml version="1.0" encoding="utf-8"?>
<sst xmlns="http://schemas.openxmlformats.org/spreadsheetml/2006/main" count="1488" uniqueCount="276">
  <si>
    <t>Parameters</t>
  </si>
  <si>
    <t>DB Server</t>
  </si>
  <si>
    <t>ex: srv-saf1</t>
  </si>
  <si>
    <t>Branch</t>
  </si>
  <si>
    <t>Par1</t>
  </si>
  <si>
    <t>Par30</t>
  </si>
  <si>
    <t>Outstanding</t>
  </si>
  <si>
    <t>Total savings</t>
  </si>
  <si>
    <t>Number of accounts</t>
  </si>
  <si>
    <t>Date</t>
  </si>
  <si>
    <t>END</t>
  </si>
  <si>
    <t>Disbursement (month)</t>
  </si>
  <si>
    <t>Disbursement (day)</t>
  </si>
  <si>
    <t>Product number</t>
  </si>
  <si>
    <t>Regular Saving accounts</t>
  </si>
  <si>
    <t>Term Deposit and Premium Saving account</t>
  </si>
  <si>
    <t>Compulsery Saving</t>
  </si>
  <si>
    <t>Other Savings account</t>
  </si>
  <si>
    <t>DB Name Daily Consolidated</t>
  </si>
  <si>
    <t>Total Number of accounts</t>
  </si>
  <si>
    <t>Total Outstanding</t>
  </si>
  <si>
    <t>Total Par1</t>
  </si>
  <si>
    <t>Total Par30</t>
  </si>
  <si>
    <t>Total Disbursement (month)</t>
  </si>
  <si>
    <t>Total Disbursement (day)</t>
  </si>
  <si>
    <t>Date:</t>
  </si>
  <si>
    <t>CC004</t>
  </si>
  <si>
    <t>taux</t>
  </si>
  <si>
    <t>total vert</t>
  </si>
  <si>
    <t>total Jaune</t>
  </si>
  <si>
    <t>total rouge</t>
  </si>
  <si>
    <t>Bank (US)</t>
  </si>
  <si>
    <t>Savings</t>
  </si>
  <si>
    <t>Outstanding Loan</t>
  </si>
  <si>
    <t>Disburs. (month)</t>
  </si>
  <si>
    <t>Disburs. (day)</t>
  </si>
  <si>
    <t xml:space="preserve"> </t>
  </si>
  <si>
    <t>Branch cash balance</t>
  </si>
  <si>
    <t>Total Bank Accounts (UGS)</t>
  </si>
  <si>
    <t>Total Investments (UGS)</t>
  </si>
  <si>
    <r>
      <t>Total Investments (</t>
    </r>
    <r>
      <rPr>
        <b/>
        <sz val="11"/>
        <color theme="1"/>
        <rFont val="Calibri"/>
        <family val="2"/>
        <scheme val="minor"/>
      </rPr>
      <t>US</t>
    </r>
    <r>
      <rPr>
        <sz val="11"/>
        <color theme="1"/>
        <rFont val="Calibri"/>
        <family val="2"/>
        <scheme val="minor"/>
      </rPr>
      <t>)</t>
    </r>
  </si>
  <si>
    <r>
      <t>Total Bank Accounts (</t>
    </r>
    <r>
      <rPr>
        <b/>
        <sz val="11"/>
        <color theme="1"/>
        <rFont val="Calibri"/>
        <family val="2"/>
        <scheme val="minor"/>
      </rPr>
      <t>US</t>
    </r>
    <r>
      <rPr>
        <sz val="11"/>
        <color theme="1"/>
        <rFont val="Calibri"/>
        <family val="2"/>
        <scheme val="minor"/>
      </rPr>
      <t>)</t>
    </r>
  </si>
  <si>
    <t>Total Liquidity (UGS)</t>
  </si>
  <si>
    <t>Bank (UGS)</t>
  </si>
  <si>
    <t>Investments (UGS)</t>
  </si>
  <si>
    <t>DB Name Daily Head Office</t>
  </si>
  <si>
    <t>Number of credits</t>
  </si>
  <si>
    <t>Number of outstanding Loans</t>
  </si>
  <si>
    <t>Number of Loans</t>
  </si>
  <si>
    <t>Others</t>
  </si>
  <si>
    <t>Wholesale Trade</t>
  </si>
  <si>
    <t>Nondurable Goods</t>
  </si>
  <si>
    <t>Durable Goods</t>
  </si>
  <si>
    <t>Truck Transportation</t>
  </si>
  <si>
    <t>Transportation and Warehousing</t>
  </si>
  <si>
    <t>Taxi service</t>
  </si>
  <si>
    <t xml:space="preserve"> Passenger Transportation</t>
  </si>
  <si>
    <t>Second Hand -Clothing and  Accessories</t>
  </si>
  <si>
    <t>Retail</t>
  </si>
  <si>
    <t>Clothing Stores</t>
  </si>
  <si>
    <t>New-Clothing and  Accessories</t>
  </si>
  <si>
    <t>Motor Vehicle and Parts Dealers</t>
  </si>
  <si>
    <t>Automotive Parts, Accessories, &amp; Tire Stores</t>
  </si>
  <si>
    <t>Miscellaneous Store Retailers</t>
  </si>
  <si>
    <t>Health and Personal Care Stores</t>
  </si>
  <si>
    <t>Cosmetics, Beauty Supplies, &amp; Perfume Stores</t>
  </si>
  <si>
    <t>General Merchandise Stores</t>
  </si>
  <si>
    <t>General Stores</t>
  </si>
  <si>
    <t>Furniture and Home Furnishings Stores</t>
  </si>
  <si>
    <t>Furniture Stores</t>
  </si>
  <si>
    <t>Food and Beverage Stores</t>
  </si>
  <si>
    <t>Beverage Stores</t>
  </si>
  <si>
    <t>Electronics Stores</t>
  </si>
  <si>
    <t>Building Material and Garden Equipment</t>
  </si>
  <si>
    <t>Hardware Stores</t>
  </si>
  <si>
    <t>Restaurant</t>
  </si>
  <si>
    <t>Restaurants and Hotels</t>
  </si>
  <si>
    <t>Hotel</t>
  </si>
  <si>
    <t>Rental</t>
  </si>
  <si>
    <t>Real Estate and Rental</t>
  </si>
  <si>
    <t>Real Estate</t>
  </si>
  <si>
    <t>Other Services</t>
  </si>
  <si>
    <t>Manufacturing</t>
  </si>
  <si>
    <t>Food Manufacturing</t>
  </si>
  <si>
    <t>Health Care</t>
  </si>
  <si>
    <t xml:space="preserve"> Medical &amp; Diagnostic Laboratories</t>
  </si>
  <si>
    <t>Educational Services</t>
  </si>
  <si>
    <t>Schools</t>
  </si>
  <si>
    <t>Construction</t>
  </si>
  <si>
    <t>Residential Construction</t>
  </si>
  <si>
    <t>Construction of Buildings</t>
  </si>
  <si>
    <t>Nonresidential Construction</t>
  </si>
  <si>
    <t>Timber Tract Operations</t>
  </si>
  <si>
    <t>Forestry</t>
  </si>
  <si>
    <t>Agriculture, Forestry, Fishing and Hunting</t>
  </si>
  <si>
    <t>Poultry &amp; Egg Production</t>
  </si>
  <si>
    <t>Animal Production</t>
  </si>
  <si>
    <t>%</t>
  </si>
  <si>
    <t>balance</t>
  </si>
  <si>
    <t>Nb</t>
  </si>
  <si>
    <t>Delinquency</t>
  </si>
  <si>
    <t>Sub-sub-activity</t>
  </si>
  <si>
    <t>Sub-Activity</t>
  </si>
  <si>
    <t>Activity</t>
  </si>
  <si>
    <t>Finance and Insurance</t>
  </si>
  <si>
    <t>Food  service contractors &amp; caterers</t>
  </si>
  <si>
    <t>Managing Version</t>
  </si>
  <si>
    <t>Effective Date</t>
  </si>
  <si>
    <t>Document Name</t>
  </si>
  <si>
    <t>Finance</t>
  </si>
  <si>
    <t>Microfinance Institutions</t>
  </si>
  <si>
    <t>Warehousing and Storage</t>
  </si>
  <si>
    <t>DP001</t>
  </si>
  <si>
    <t>Information</t>
  </si>
  <si>
    <t>Crop Production</t>
  </si>
  <si>
    <t>General Freight Trucking, Long-distance</t>
  </si>
  <si>
    <t>General Rental Centers</t>
  </si>
  <si>
    <t>0 day</t>
  </si>
  <si>
    <t>1 to 30 days</t>
  </si>
  <si>
    <t>31 to 90 days</t>
  </si>
  <si>
    <t>91 to 180 days</t>
  </si>
  <si>
    <t>Bus transportation</t>
  </si>
  <si>
    <t>Furniture &amp; Home Furnishings</t>
  </si>
  <si>
    <t>Radio, Television, &amp; Other Electronics Stores</t>
  </si>
  <si>
    <t>Fruit &amp; Vegetable Markets</t>
  </si>
  <si>
    <t>General Freight Trucking, Local</t>
  </si>
  <si>
    <t>Other Animal Production</t>
  </si>
  <si>
    <t>Bar</t>
  </si>
  <si>
    <t>Daily_Consolidated</t>
  </si>
  <si>
    <t>Daily_30000_000</t>
  </si>
  <si>
    <t>Maize</t>
  </si>
  <si>
    <t>TODAY DATE</t>
  </si>
  <si>
    <t>PREVIOUS DATE</t>
  </si>
  <si>
    <t>Targets:</t>
  </si>
  <si>
    <t>Gap:</t>
  </si>
  <si>
    <t>% realization:</t>
  </si>
  <si>
    <t>20170401_Daily Dashboard_T3.13</t>
  </si>
  <si>
    <t>Pharmacies &amp; Drug Stores</t>
  </si>
  <si>
    <t>Total Par90</t>
  </si>
  <si>
    <t># Disbursement (day)</t>
  </si>
  <si>
    <t># Disbursement (month)</t>
  </si>
  <si>
    <t>Par90</t>
  </si>
  <si>
    <t># Disb. (Month)</t>
  </si>
  <si>
    <t>Wood Product Manufacturing</t>
  </si>
  <si>
    <t>More than 180 days</t>
  </si>
  <si>
    <t>Mobile</t>
  </si>
  <si>
    <t>Repair and Maintenance</t>
  </si>
  <si>
    <t>Personal Services</t>
  </si>
  <si>
    <t>Hair/Beauty Salons</t>
  </si>
  <si>
    <t>Beer, Wine, &amp; Distilled Alcoholic Beverages</t>
  </si>
  <si>
    <t>Confectionery &amp; Nut Stores</t>
  </si>
  <si>
    <t>192.168.1.7</t>
  </si>
  <si>
    <t>Grocery</t>
  </si>
  <si>
    <t>EFC UGANDA LTD (MDI)</t>
  </si>
  <si>
    <t>Projected Performance Summary</t>
  </si>
  <si>
    <t>FY 2019</t>
  </si>
  <si>
    <t>PORTFOLIO</t>
  </si>
  <si>
    <t>A</t>
  </si>
  <si>
    <t>Number of loans disbursed</t>
  </si>
  <si>
    <t xml:space="preserve">SME 1 </t>
  </si>
  <si>
    <t xml:space="preserve">SME 2 </t>
  </si>
  <si>
    <t xml:space="preserve">SME 3 </t>
  </si>
  <si>
    <t xml:space="preserve">WMT 1 </t>
  </si>
  <si>
    <t xml:space="preserve">WMT 2 </t>
  </si>
  <si>
    <t xml:space="preserve">WMT 3 </t>
  </si>
  <si>
    <t xml:space="preserve">HIL </t>
  </si>
  <si>
    <t xml:space="preserve">Staff Loan </t>
  </si>
  <si>
    <t>Total loans disbursed</t>
  </si>
  <si>
    <t>B</t>
  </si>
  <si>
    <t>Volume of loans disbursed</t>
  </si>
  <si>
    <t>UGX'M</t>
  </si>
  <si>
    <t>C</t>
  </si>
  <si>
    <t>Number of loans outstanding</t>
  </si>
  <si>
    <t>Total loans outstanding</t>
  </si>
  <si>
    <t>D</t>
  </si>
  <si>
    <t>Volume of loans outstanding</t>
  </si>
  <si>
    <t>E</t>
  </si>
  <si>
    <t xml:space="preserve">Concentration by number </t>
  </si>
  <si>
    <t xml:space="preserve">Total </t>
  </si>
  <si>
    <t>F</t>
  </si>
  <si>
    <t>Concentration by volume</t>
  </si>
  <si>
    <t>COMPULSORY SAVINGS</t>
  </si>
  <si>
    <t>G</t>
  </si>
  <si>
    <t>Compulsory savings by product</t>
  </si>
  <si>
    <t>SAVINGS DEPOSITS</t>
  </si>
  <si>
    <t>H</t>
  </si>
  <si>
    <t>Number of depositors</t>
  </si>
  <si>
    <t xml:space="preserve">Regular Savings </t>
  </si>
  <si>
    <t xml:space="preserve">Premium Savings </t>
  </si>
  <si>
    <t xml:space="preserve">Fixed Deposits </t>
  </si>
  <si>
    <t>Total Deposits</t>
  </si>
  <si>
    <t>I</t>
  </si>
  <si>
    <t>Total deposits</t>
  </si>
  <si>
    <t>Fishing and Hunting</t>
  </si>
  <si>
    <t>Fishing</t>
  </si>
  <si>
    <t>Publishing Industries</t>
  </si>
  <si>
    <t>Book Publishers</t>
  </si>
  <si>
    <t>Plastics and Rubber</t>
  </si>
  <si>
    <t>Textiles</t>
  </si>
  <si>
    <t>Automotive</t>
  </si>
  <si>
    <t>Furniture Repair</t>
  </si>
  <si>
    <t>Office Supplies &amp; Stationery Stores</t>
  </si>
  <si>
    <t>Hardware, &amp; Plumbing &amp; Heating Equipment</t>
  </si>
  <si>
    <t>Beef Cattle Ranching &amp; Farming</t>
  </si>
  <si>
    <t>Jewelry, Watch, Precious Stone, &amp; Precious Metals</t>
  </si>
  <si>
    <t>Dairy Cattle &amp; Milk Production</t>
  </si>
  <si>
    <t>Beverage and Tobacco Product Manufacturing</t>
  </si>
  <si>
    <t>House decors</t>
  </si>
  <si>
    <t>Electrical &amp; Electronic Goods</t>
  </si>
  <si>
    <t>Shoes Stores</t>
  </si>
  <si>
    <t>Used Car Dealers</t>
  </si>
  <si>
    <t>Fabricated Metal Product Manufacturing</t>
  </si>
  <si>
    <t>Hardware</t>
  </si>
  <si>
    <t>Hog &amp; Pig Farming</t>
  </si>
  <si>
    <t>Hospital</t>
  </si>
  <si>
    <t>Motor Vehicle &amp; Parts</t>
  </si>
  <si>
    <t>Farm Product Raw Materials</t>
  </si>
  <si>
    <t>CC001,CC003,CC002</t>
  </si>
  <si>
    <t>DP002,DP003,DP004</t>
  </si>
  <si>
    <t>Fish &amp; Seafood Markets</t>
  </si>
  <si>
    <t>Jewelry Stores</t>
  </si>
  <si>
    <t>Bakeries</t>
  </si>
  <si>
    <t>Farm Supplies</t>
  </si>
  <si>
    <t>Printing Stores</t>
  </si>
  <si>
    <t>Sawmills &amp; Wood Preservation</t>
  </si>
  <si>
    <t>Cattle Feedlots</t>
  </si>
  <si>
    <t>Recyclable Materials</t>
  </si>
  <si>
    <t>Plastics Product</t>
  </si>
  <si>
    <t>Wineries</t>
  </si>
  <si>
    <t>Specialty Trade Contractors</t>
  </si>
  <si>
    <t>Market Gardening</t>
  </si>
  <si>
    <t>Peanut</t>
  </si>
  <si>
    <t>Rice</t>
  </si>
  <si>
    <t>Sunflower</t>
  </si>
  <si>
    <t>Aquaculture</t>
  </si>
  <si>
    <t>Building Finishing</t>
  </si>
  <si>
    <t>Other Specialty Trade Contractors</t>
  </si>
  <si>
    <t>Cooperative/Credit Unions</t>
  </si>
  <si>
    <t>Spring &amp; Wire Product</t>
  </si>
  <si>
    <t>Animal Slaughtering and Processing</t>
  </si>
  <si>
    <t>Furniture and Related Product Manufacturing</t>
  </si>
  <si>
    <t>Furniture</t>
  </si>
  <si>
    <t>Nonmetallic Mineral Product Manufacturing</t>
  </si>
  <si>
    <t>Paper Manufacturing</t>
  </si>
  <si>
    <t>Textile Mills</t>
  </si>
  <si>
    <t>Paint &amp; Wallpaper Stores</t>
  </si>
  <si>
    <t>Baked Goods Stores</t>
  </si>
  <si>
    <t>Art Dealers</t>
  </si>
  <si>
    <t>Charcoal Store</t>
  </si>
  <si>
    <t>Gift, Novelty, &amp; Souvenir Stores</t>
  </si>
  <si>
    <t>Luggage &amp; Leather Goods Stores</t>
  </si>
  <si>
    <t>Metal &amp; Mineral</t>
  </si>
  <si>
    <t>Professional &amp; Commercial Equipment</t>
  </si>
  <si>
    <t>Sporting &amp; Recreational Goods</t>
  </si>
  <si>
    <t>Drugs &amp; Druggists' Sundries</t>
  </si>
  <si>
    <t>Flower, Nursery Stock, &amp; Florists' Supplies</t>
  </si>
  <si>
    <t>Tobacco &amp; Tobacco Products</t>
  </si>
  <si>
    <t>Computer &amp; Software</t>
  </si>
  <si>
    <t>Butchery</t>
  </si>
  <si>
    <t>Mining</t>
  </si>
  <si>
    <t>Mining and Extraction</t>
  </si>
  <si>
    <t>Metal Ore Mining</t>
  </si>
  <si>
    <t>Machinery &amp; Equipment</t>
  </si>
  <si>
    <t>Sheep &amp; Goat Farming</t>
  </si>
  <si>
    <t>Seafood Preparation &amp; Packaging</t>
  </si>
  <si>
    <t>Laundry Services</t>
  </si>
  <si>
    <t>Drycleaning &amp; Laundry Services</t>
  </si>
  <si>
    <t>Sand, Gravel, Clay, &amp; Ceramic</t>
  </si>
  <si>
    <t>Chemical &amp; Allied Products</t>
  </si>
  <si>
    <t>Fruit &amp; Vegetable Preserving</t>
  </si>
  <si>
    <t>Electronic  Equipment</t>
  </si>
  <si>
    <t>2020-10-01</t>
  </si>
  <si>
    <t>Block, Cement &amp; Concrete</t>
  </si>
  <si>
    <t>Lumber &amp; Other Construction Materials</t>
  </si>
  <si>
    <t>2020-10-26</t>
  </si>
  <si>
    <t>Soft Drink &amp; 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</si>
</sst>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-* #,##0.00_-;\-* #,##0.00_-;_-* &quot;-&quot;??_-;_-@_-"/>
    <numFmt numFmtId="165" formatCode="_ * #,##0.00_)\ _$_ ;_ * \(#,##0.00\)\ _$_ ;_ * &quot;-&quot;??_)\ _$_ ;_ @_ "/>
    <numFmt numFmtId="166" formatCode="yyyy\-mm\-dd;@"/>
    <numFmt numFmtId="167" formatCode="_-* #,##0_-;\-* #,##0_-;_-* &quot;-&quot;??_-;_-@_-"/>
    <numFmt numFmtId="168" formatCode="yyyy/mm/dd;@"/>
    <numFmt numFmtId="169" formatCode="yy/mm/dd;@"/>
    <numFmt numFmtId="170" formatCode="000"/>
    <numFmt numFmtId="171" formatCode="[$-409]mmm\-yy;@"/>
    <numFmt numFmtId="172" formatCode="_(* #,##0_);_(* \(#,##0\);_(* &quot;-&quot;??_);_(@_)"/>
    <numFmt numFmtId="173" formatCode="0.0%"/>
  </numFmts>
  <fonts count="1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Arial"/>
      <family val="2"/>
    </font>
    <font>
      <sz val="14"/>
      <color theme="0"/>
      <name val="Calibri"/>
      <family val="2"/>
      <scheme val="minor"/>
    </font>
    <font>
      <b/>
      <sz val="9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38" fontId="13" fillId="0" borderId="0"/>
    <xf numFmtId="43" fontId="8" fillId="0" borderId="0" applyFont="0" applyFill="0" applyBorder="0" applyAlignment="0" applyProtection="0"/>
  </cellStyleXfs>
  <cellXfs count="162">
    <xf numFmtId="0" fontId="0" fillId="0" borderId="0" xfId="0"/>
    <xf numFmtId="0" fontId="4" fillId="4" borderId="0" xfId="4" applyFill="1"/>
    <xf numFmtId="0" fontId="4" fillId="0" borderId="2" xfId="4" applyBorder="1"/>
    <xf numFmtId="0" fontId="4" fillId="4" borderId="0" xfId="4" applyFont="1" applyFill="1" applyBorder="1"/>
    <xf numFmtId="0" fontId="4" fillId="4" borderId="0" xfId="4" applyFill="1" applyBorder="1"/>
    <xf numFmtId="0" fontId="4" fillId="4" borderId="3" xfId="4" applyFill="1" applyBorder="1"/>
    <xf numFmtId="0" fontId="4" fillId="2" borderId="8" xfId="4" applyFont="1" applyFill="1" applyBorder="1" applyProtection="1">
      <protection locked="0"/>
    </xf>
    <xf numFmtId="0" fontId="4" fillId="0" borderId="0" xfId="4"/>
    <xf numFmtId="0" fontId="4" fillId="4" borderId="2" xfId="4" applyFill="1" applyBorder="1"/>
    <xf numFmtId="0" fontId="4" fillId="3" borderId="0" xfId="4" applyFill="1"/>
    <xf numFmtId="0" fontId="0" fillId="3" borderId="0" xfId="0" applyFill="1" applyProtection="1"/>
    <xf numFmtId="0" fontId="3" fillId="4" borderId="5" xfId="4" applyFont="1" applyFill="1" applyBorder="1" applyAlignment="1">
      <alignment horizontal="center"/>
    </xf>
    <xf numFmtId="0" fontId="3" fillId="4" borderId="6" xfId="4" applyFont="1" applyFill="1" applyBorder="1" applyAlignment="1">
      <alignment horizontal="center"/>
    </xf>
    <xf numFmtId="0" fontId="3" fillId="4" borderId="7" xfId="4" applyFont="1" applyFill="1" applyBorder="1" applyAlignment="1">
      <alignment horizontal="center"/>
    </xf>
    <xf numFmtId="0" fontId="6" fillId="0" borderId="0" xfId="0" applyFont="1"/>
    <xf numFmtId="0" fontId="0" fillId="0" borderId="0" xfId="0" applyNumberFormat="1"/>
    <xf numFmtId="0" fontId="4" fillId="4" borderId="0" xfId="4" applyFont="1" applyFill="1" applyBorder="1" applyAlignment="1">
      <alignment horizontal="right"/>
    </xf>
    <xf numFmtId="0" fontId="0" fillId="4" borderId="8" xfId="0" applyFill="1" applyBorder="1"/>
    <xf numFmtId="0" fontId="4" fillId="2" borderId="8" xfId="0" applyFont="1" applyFill="1" applyBorder="1"/>
    <xf numFmtId="0" fontId="0" fillId="4" borderId="3" xfId="0" applyFill="1" applyBorder="1"/>
    <xf numFmtId="0" fontId="0" fillId="4" borderId="0" xfId="0" applyFill="1"/>
    <xf numFmtId="0" fontId="0" fillId="4" borderId="0" xfId="0" applyFill="1" applyBorder="1"/>
    <xf numFmtId="0" fontId="0" fillId="4" borderId="2" xfId="0" applyFill="1" applyBorder="1"/>
    <xf numFmtId="0" fontId="2" fillId="3" borderId="0" xfId="0" applyFont="1" applyFill="1" applyBorder="1" applyProtection="1"/>
    <xf numFmtId="0" fontId="0" fillId="3" borderId="3" xfId="0" applyFill="1" applyBorder="1" applyProtection="1"/>
    <xf numFmtId="0" fontId="4" fillId="3" borderId="9" xfId="4" applyFill="1" applyBorder="1"/>
    <xf numFmtId="0" fontId="4" fillId="3" borderId="1" xfId="4" applyFill="1" applyBorder="1"/>
    <xf numFmtId="0" fontId="4" fillId="3" borderId="4" xfId="4" applyFill="1" applyBorder="1"/>
    <xf numFmtId="0" fontId="7" fillId="4" borderId="2" xfId="4" applyFont="1" applyFill="1" applyBorder="1"/>
    <xf numFmtId="10" fontId="0" fillId="0" borderId="0" xfId="6" applyNumberFormat="1" applyFont="1"/>
    <xf numFmtId="10" fontId="0" fillId="2" borderId="0" xfId="6" applyNumberFormat="1" applyFont="1" applyFill="1"/>
    <xf numFmtId="9" fontId="0" fillId="0" borderId="0" xfId="0" applyNumberFormat="1"/>
    <xf numFmtId="10" fontId="0" fillId="0" borderId="0" xfId="0" applyNumberFormat="1"/>
    <xf numFmtId="9" fontId="0" fillId="0" borderId="0" xfId="6" applyFont="1"/>
    <xf numFmtId="164" fontId="0" fillId="0" borderId="0" xfId="5" applyFont="1"/>
    <xf numFmtId="3" fontId="0" fillId="0" borderId="0" xfId="0" applyNumberFormat="1"/>
    <xf numFmtId="2" fontId="0" fillId="0" borderId="0" xfId="0" applyNumberFormat="1"/>
    <xf numFmtId="167" fontId="6" fillId="0" borderId="0" xfId="5" applyNumberFormat="1" applyFont="1" applyAlignment="1">
      <alignment horizontal="right"/>
    </xf>
    <xf numFmtId="0" fontId="9" fillId="0" borderId="0" xfId="0" applyFont="1" applyFill="1"/>
    <xf numFmtId="0" fontId="0" fillId="3" borderId="2" xfId="0" applyFill="1" applyBorder="1" applyProtection="1"/>
    <xf numFmtId="0" fontId="0" fillId="3" borderId="0" xfId="0" applyFill="1" applyBorder="1" applyProtection="1"/>
    <xf numFmtId="0" fontId="4" fillId="3" borderId="1" xfId="0" applyFont="1" applyFill="1" applyBorder="1" applyProtection="1"/>
    <xf numFmtId="0" fontId="0" fillId="3" borderId="4" xfId="0" applyFill="1" applyBorder="1" applyProtection="1"/>
    <xf numFmtId="0" fontId="10" fillId="0" borderId="0" xfId="0" applyFont="1"/>
    <xf numFmtId="165" fontId="0" fillId="0" borderId="0" xfId="0" applyNumberFormat="1"/>
    <xf numFmtId="164" fontId="9" fillId="0" borderId="0" xfId="5" applyFont="1" applyFill="1"/>
    <xf numFmtId="0" fontId="6" fillId="3" borderId="0" xfId="0" applyFont="1" applyFill="1"/>
    <xf numFmtId="0" fontId="0" fillId="6" borderId="0" xfId="0" applyFill="1"/>
    <xf numFmtId="0" fontId="6" fillId="6" borderId="0" xfId="0" applyFont="1" applyFill="1"/>
    <xf numFmtId="0" fontId="0" fillId="0" borderId="1" xfId="0" applyNumberFormat="1" applyBorder="1"/>
    <xf numFmtId="0" fontId="0" fillId="3" borderId="0" xfId="0" applyNumberFormat="1" applyFill="1" applyBorder="1"/>
    <xf numFmtId="0" fontId="0" fillId="0" borderId="0" xfId="0" applyNumberFormat="1" applyBorder="1"/>
    <xf numFmtId="0" fontId="6" fillId="6" borderId="0" xfId="0" applyFont="1" applyFill="1" applyBorder="1"/>
    <xf numFmtId="0" fontId="6" fillId="3" borderId="0" xfId="0" applyFont="1" applyFill="1" applyBorder="1"/>
    <xf numFmtId="168" fontId="6" fillId="0" borderId="0" xfId="0" applyNumberFormat="1" applyFont="1" applyAlignment="1">
      <alignment horizontal="right"/>
    </xf>
    <xf numFmtId="169" fontId="6" fillId="0" borderId="0" xfId="0" applyNumberFormat="1" applyFont="1" applyAlignment="1">
      <alignment horizontal="right"/>
    </xf>
    <xf numFmtId="0" fontId="9" fillId="0" borderId="0" xfId="0" applyNumberFormat="1" applyFont="1" applyFill="1" applyBorder="1"/>
    <xf numFmtId="9" fontId="9" fillId="0" borderId="0" xfId="6" applyFont="1" applyFill="1" applyBorder="1"/>
    <xf numFmtId="164" fontId="0" fillId="0" borderId="0" xfId="5" applyFont="1" applyFill="1"/>
    <xf numFmtId="14" fontId="9" fillId="0" borderId="0" xfId="0" applyNumberFormat="1" applyFont="1"/>
    <xf numFmtId="9" fontId="9" fillId="0" borderId="0" xfId="6" applyFont="1" applyFill="1"/>
    <xf numFmtId="170" fontId="9" fillId="6" borderId="0" xfId="0" applyNumberFormat="1" applyFont="1" applyFill="1"/>
    <xf numFmtId="170" fontId="9" fillId="6" borderId="0" xfId="0" applyNumberFormat="1" applyFont="1" applyFill="1" applyBorder="1"/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right"/>
    </xf>
    <xf numFmtId="49" fontId="6" fillId="6" borderId="0" xfId="0" applyNumberFormat="1" applyFont="1" applyFill="1" applyAlignment="1">
      <alignment horizontal="right"/>
    </xf>
    <xf numFmtId="0" fontId="0" fillId="7" borderId="0" xfId="0" applyFill="1"/>
    <xf numFmtId="0" fontId="9" fillId="7" borderId="0" xfId="0" applyFont="1" applyFill="1"/>
    <xf numFmtId="166" fontId="6" fillId="0" borderId="0" xfId="0" applyNumberFormat="1" applyFont="1" applyAlignment="1">
      <alignment horizontal="right"/>
    </xf>
    <xf numFmtId="164" fontId="6" fillId="0" borderId="0" xfId="5" applyFont="1"/>
    <xf numFmtId="170" fontId="0" fillId="6" borderId="0" xfId="5" applyNumberFormat="1" applyFont="1" applyFill="1"/>
    <xf numFmtId="164" fontId="8" fillId="0" borderId="0" xfId="5" applyFont="1"/>
    <xf numFmtId="49" fontId="4" fillId="4" borderId="23" xfId="4" applyNumberFormat="1" applyFill="1" applyBorder="1"/>
    <xf numFmtId="0" fontId="7" fillId="4" borderId="0" xfId="4" applyFont="1" applyFill="1" applyBorder="1"/>
    <xf numFmtId="10" fontId="0" fillId="0" borderId="0" xfId="5" applyNumberFormat="1" applyFont="1" applyFill="1"/>
    <xf numFmtId="10" fontId="0" fillId="0" borderId="13" xfId="6" applyNumberFormat="1" applyFont="1" applyBorder="1" applyAlignment="1">
      <alignment horizontal="center"/>
    </xf>
    <xf numFmtId="3" fontId="0" fillId="0" borderId="8" xfId="0" applyNumberFormat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65" fontId="0" fillId="7" borderId="0" xfId="0" applyNumberFormat="1" applyFill="1"/>
    <xf numFmtId="167" fontId="0" fillId="0" borderId="0" xfId="5" applyNumberFormat="1" applyFont="1" applyFill="1"/>
    <xf numFmtId="167" fontId="0" fillId="0" borderId="0" xfId="5" applyNumberFormat="1" applyFont="1"/>
    <xf numFmtId="0" fontId="9" fillId="0" borderId="36" xfId="0" applyFont="1" applyBorder="1" applyAlignment="1">
      <alignment horizontal="center"/>
    </xf>
    <xf numFmtId="10" fontId="0" fillId="0" borderId="37" xfId="0" applyNumberFormat="1" applyBorder="1" applyAlignment="1">
      <alignment horizontal="center"/>
    </xf>
    <xf numFmtId="3" fontId="0" fillId="0" borderId="37" xfId="0" applyNumberFormat="1" applyBorder="1" applyAlignment="1">
      <alignment horizontal="center"/>
    </xf>
    <xf numFmtId="0" fontId="9" fillId="0" borderId="0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164" fontId="9" fillId="0" borderId="0" xfId="5" applyFont="1" applyFill="1" applyBorder="1"/>
    <xf numFmtId="10" fontId="14" fillId="0" borderId="8" xfId="6" applyNumberFormat="1" applyFont="1" applyBorder="1" applyAlignment="1">
      <alignment horizontal="center"/>
    </xf>
    <xf numFmtId="10" fontId="14" fillId="0" borderId="13" xfId="6" applyNumberFormat="1" applyFont="1" applyBorder="1" applyAlignment="1">
      <alignment horizontal="center"/>
    </xf>
    <xf numFmtId="0" fontId="15" fillId="0" borderId="0" xfId="0" applyFont="1"/>
    <xf numFmtId="171" fontId="0" fillId="0" borderId="0" xfId="0" applyNumberFormat="1"/>
    <xf numFmtId="0" fontId="15" fillId="9" borderId="0" xfId="0" applyFont="1" applyFill="1"/>
    <xf numFmtId="0" fontId="15" fillId="0" borderId="39" xfId="0" applyFont="1" applyBorder="1"/>
    <xf numFmtId="172" fontId="15" fillId="0" borderId="39" xfId="8" applyNumberFormat="1" applyFont="1" applyBorder="1"/>
    <xf numFmtId="43" fontId="0" fillId="0" borderId="0" xfId="8" applyFont="1"/>
    <xf numFmtId="43" fontId="15" fillId="0" borderId="39" xfId="8" applyFont="1" applyBorder="1"/>
    <xf numFmtId="173" fontId="0" fillId="0" borderId="0" xfId="6" applyNumberFormat="1" applyFont="1"/>
    <xf numFmtId="9" fontId="15" fillId="0" borderId="39" xfId="6" applyFont="1" applyBorder="1"/>
    <xf numFmtId="0" fontId="15" fillId="8" borderId="0" xfId="0" applyFont="1" applyFill="1"/>
    <xf numFmtId="172" fontId="0" fillId="0" borderId="0" xfId="8" applyNumberFormat="1" applyFont="1"/>
    <xf numFmtId="165" fontId="9" fillId="7" borderId="0" xfId="0" applyNumberFormat="1" applyFont="1" applyFill="1" applyAlignment="1">
      <alignment horizontal="right"/>
    </xf>
    <xf numFmtId="167" fontId="9" fillId="0" borderId="0" xfId="5" applyNumberFormat="1" applyFont="1" applyFill="1" applyAlignment="1">
      <alignment horizontal="right"/>
    </xf>
    <xf numFmtId="164" fontId="9" fillId="0" borderId="0" xfId="5" applyFont="1" applyFill="1" applyAlignment="1">
      <alignment horizontal="right"/>
    </xf>
    <xf numFmtId="0" fontId="9" fillId="0" borderId="0" xfId="0" applyFont="1" applyFill="1" applyAlignment="1">
      <alignment horizontal="right"/>
    </xf>
    <xf numFmtId="10" fontId="9" fillId="0" borderId="0" xfId="6" applyNumberFormat="1" applyFont="1" applyFill="1" applyAlignment="1">
      <alignment horizontal="right"/>
    </xf>
    <xf numFmtId="10" fontId="9" fillId="0" borderId="0" xfId="5" applyNumberFormat="1" applyFont="1" applyFill="1" applyAlignment="1">
      <alignment horizontal="right"/>
    </xf>
    <xf numFmtId="167" fontId="9" fillId="0" borderId="0" xfId="5" applyNumberFormat="1" applyFont="1" applyAlignment="1">
      <alignment horizontal="right"/>
    </xf>
    <xf numFmtId="0" fontId="9" fillId="0" borderId="0" xfId="5" applyNumberFormat="1" applyFont="1" applyAlignment="1">
      <alignment horizontal="right"/>
    </xf>
    <xf numFmtId="0" fontId="9" fillId="0" borderId="0" xfId="0" applyFont="1" applyAlignment="1">
      <alignment horizontal="right"/>
    </xf>
    <xf numFmtId="0" fontId="0" fillId="3" borderId="2" xfId="0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left"/>
    </xf>
    <xf numFmtId="0" fontId="0" fillId="3" borderId="9" xfId="0" applyFill="1" applyBorder="1" applyAlignment="1" applyProtection="1">
      <alignment horizontal="left"/>
    </xf>
    <xf numFmtId="0" fontId="0" fillId="3" borderId="1" xfId="0" applyFill="1" applyBorder="1" applyAlignment="1" applyProtection="1">
      <alignment horizontal="left"/>
    </xf>
    <xf numFmtId="0" fontId="0" fillId="4" borderId="8" xfId="0" applyFill="1" applyBorder="1" applyAlignment="1">
      <alignment horizontal="left"/>
    </xf>
    <xf numFmtId="0" fontId="7" fillId="5" borderId="20" xfId="0" applyFont="1" applyFill="1" applyBorder="1" applyAlignment="1" applyProtection="1">
      <alignment horizontal="center"/>
    </xf>
    <xf numFmtId="0" fontId="7" fillId="5" borderId="21" xfId="0" applyFont="1" applyFill="1" applyBorder="1" applyAlignment="1" applyProtection="1">
      <alignment horizontal="center"/>
    </xf>
    <xf numFmtId="0" fontId="7" fillId="5" borderId="22" xfId="0" applyFont="1" applyFill="1" applyBorder="1" applyAlignment="1" applyProtection="1">
      <alignment horizontal="center"/>
    </xf>
    <xf numFmtId="166" fontId="0" fillId="0" borderId="0" xfId="0" applyNumberFormat="1" applyAlignment="1">
      <alignment horizontal="center"/>
    </xf>
    <xf numFmtId="166" fontId="0" fillId="0" borderId="12" xfId="0" applyNumberFormat="1" applyBorder="1" applyAlignment="1">
      <alignment horizontal="center"/>
    </xf>
    <xf numFmtId="166" fontId="0" fillId="0" borderId="13" xfId="0" applyNumberForma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3" fontId="0" fillId="0" borderId="14" xfId="0" applyNumberFormat="1" applyBorder="1" applyAlignment="1">
      <alignment horizontal="center"/>
    </xf>
    <xf numFmtId="3" fontId="0" fillId="0" borderId="16" xfId="0" applyNumberForma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6" xfId="0" applyNumberFormat="1" applyFont="1" applyBorder="1" applyAlignment="1">
      <alignment horizontal="center"/>
    </xf>
    <xf numFmtId="0" fontId="9" fillId="0" borderId="17" xfId="0" applyNumberFormat="1" applyFont="1" applyBorder="1" applyAlignment="1">
      <alignment horizontal="center"/>
    </xf>
    <xf numFmtId="0" fontId="9" fillId="0" borderId="18" xfId="0" applyNumberFormat="1" applyFon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3" fontId="0" fillId="0" borderId="38" xfId="0" applyNumberFormat="1" applyBorder="1" applyAlignment="1">
      <alignment horizontal="center"/>
    </xf>
    <xf numFmtId="3" fontId="0" fillId="0" borderId="19" xfId="0" applyNumberFormat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3" fontId="0" fillId="0" borderId="24" xfId="0" applyNumberForma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3" fontId="0" fillId="0" borderId="28" xfId="0" applyNumberFormat="1" applyBorder="1" applyAlignment="1">
      <alignment horizontal="center"/>
    </xf>
    <xf numFmtId="3" fontId="0" fillId="0" borderId="8" xfId="0" applyNumberFormat="1" applyBorder="1" applyAlignment="1">
      <alignment horizontal="center"/>
    </xf>
    <xf numFmtId="10" fontId="14" fillId="0" borderId="8" xfId="6" applyNumberFormat="1" applyFont="1" applyBorder="1" applyAlignment="1">
      <alignment horizontal="center"/>
    </xf>
    <xf numFmtId="3" fontId="0" fillId="0" borderId="29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0" fillId="8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10" fontId="14" fillId="0" borderId="12" xfId="6" applyNumberFormat="1" applyFont="1" applyBorder="1" applyAlignment="1">
      <alignment horizontal="center"/>
    </xf>
    <xf numFmtId="10" fontId="14" fillId="0" borderId="13" xfId="6" applyNumberFormat="1" applyFont="1" applyBorder="1" applyAlignment="1">
      <alignment horizontal="center"/>
    </xf>
    <xf numFmtId="10" fontId="0" fillId="0" borderId="13" xfId="6" applyNumberFormat="1" applyFont="1" applyBorder="1" applyAlignment="1">
      <alignment horizontal="center"/>
    </xf>
    <xf numFmtId="10" fontId="14" fillId="0" borderId="32" xfId="6" applyNumberFormat="1" applyFont="1" applyBorder="1" applyAlignment="1">
      <alignment horizontal="center"/>
    </xf>
  </cellXfs>
  <cellStyles count="9">
    <cellStyle name="Comma" xfId="5" builtinId="3"/>
    <cellStyle name="Comma 2" xfId="2" xr:uid="{00000000-0005-0000-0000-000001000000}"/>
    <cellStyle name="Comma 3" xfId="1" xr:uid="{00000000-0005-0000-0000-000002000000}"/>
    <cellStyle name="Comma 4" xfId="3" xr:uid="{00000000-0005-0000-0000-000003000000}"/>
    <cellStyle name="Comma 5" xfId="8" xr:uid="{00000000-0005-0000-0000-000004000000}"/>
    <cellStyle name="Normal" xfId="0" builtinId="0"/>
    <cellStyle name="Normal 2" xfId="4" xr:uid="{00000000-0005-0000-0000-000006000000}"/>
    <cellStyle name="Normal 267" xfId="7" xr:uid="{00000000-0005-0000-0000-000007000000}"/>
    <cellStyle name="Percent" xfId="6" builtinId="5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0E8C53"/>
      <color rgb="FFF69300"/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CA">
                <a:solidFill>
                  <a:srgbClr val="0E8C53"/>
                </a:solidFill>
              </a:defRPr>
            </a:pPr>
            <a:r>
              <a:rPr lang="en-US">
                <a:solidFill>
                  <a:srgbClr val="0E8C53"/>
                </a:solidFill>
              </a:rPr>
              <a:t>Savings 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0964835117681296"/>
          <c:y val="0.20036932883389591"/>
          <c:w val="0.67310587601632033"/>
          <c:h val="0.56398987626547337"/>
        </c:manualLayout>
      </c:layout>
      <c:lineChart>
        <c:grouping val="stacked"/>
        <c:varyColors val="0"/>
        <c:ser>
          <c:idx val="0"/>
          <c:order val="0"/>
          <c:tx>
            <c:strRef>
              <c:f>DailyReportTotal!$A$8:$A$8</c:f>
              <c:strCache>
                <c:ptCount val="1"/>
                <c:pt idx="0">
                  <c:v>Total savings</c:v>
                </c:pt>
              </c:strCache>
            </c:strRef>
          </c:tx>
          <c:spPr>
            <a:ln>
              <a:solidFill>
                <a:srgbClr val="0E8C53"/>
              </a:solidFill>
            </a:ln>
          </c:spPr>
          <c:marker>
            <c:symbol val="none"/>
          </c:marker>
          <c:cat>
            <c:strRef>
              <c:f>DailyReportTotal!$B$1:$H$1</c:f>
              <c:strCache>
                <c:ptCount val="7"/>
                <c:pt idx="0">
                  <c:v>2020-10-07</c:v>
                </c:pt>
                <c:pt idx="1">
                  <c:v>2020-10-08</c:v>
                </c:pt>
                <c:pt idx="2">
                  <c:v>2020-10-10</c:v>
                </c:pt>
                <c:pt idx="3">
                  <c:v>2020-10-12</c:v>
                </c:pt>
                <c:pt idx="4">
                  <c:v>2020-10-13</c:v>
                </c:pt>
                <c:pt idx="5">
                  <c:v>2020-10-24</c:v>
                </c:pt>
                <c:pt idx="6">
                  <c:v>END</c:v>
                </c:pt>
              </c:strCache>
            </c:strRef>
          </c:cat>
          <c:val>
            <c:numRef>
              <c:f>DailyReportTotal!$B$8:$H$8</c:f>
              <c:numCache>
                <c:formatCode>_-* #,##0.00_-;\-* #,##0.00_-;_-* "-"??_-;_-@_-</c:formatCode>
                <c:ptCount val="7"/>
                <c:pt idx="0">
                  <c:v>38558073154.839996</c:v>
                </c:pt>
                <c:pt idx="1">
                  <c:v>38420168584.610001</c:v>
                </c:pt>
                <c:pt idx="2">
                  <c:v>38383209409.57</c:v>
                </c:pt>
                <c:pt idx="3">
                  <c:v>38484245494.07</c:v>
                </c:pt>
                <c:pt idx="4">
                  <c:v>38501492220.269997</c:v>
                </c:pt>
                <c:pt idx="5">
                  <c:v>38538894769.309998</c:v>
                </c:pt>
                <c:pt idx="6" formatCode="_-* #,##0_-;\-* #,##0_-;_-* &quot;-&quot;??_-;_-@_-">
                  <c:v>38538894769.309998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B6-4922-873C-4A63B93AB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554624"/>
        <c:axId val="232874752"/>
      </c:lineChart>
      <c:lineChart>
        <c:grouping val="stacked"/>
        <c:varyColors val="0"/>
        <c:ser>
          <c:idx val="1"/>
          <c:order val="1"/>
          <c:tx>
            <c:strRef>
              <c:f>DailyReportTotal!$A$9</c:f>
              <c:strCache>
                <c:ptCount val="1"/>
                <c:pt idx="0">
                  <c:v>Total Number of accounts</c:v>
                </c:pt>
              </c:strCache>
            </c:strRef>
          </c:tx>
          <c:spPr>
            <a:ln>
              <a:solidFill>
                <a:srgbClr val="F69300"/>
              </a:solidFill>
            </a:ln>
          </c:spPr>
          <c:marker>
            <c:symbol val="none"/>
          </c:marker>
          <c:cat>
            <c:strRef>
              <c:f>DailyReportTotal!$B$1:$H$1</c:f>
              <c:strCache>
                <c:ptCount val="7"/>
                <c:pt idx="0">
                  <c:v>2020-10-07</c:v>
                </c:pt>
                <c:pt idx="1">
                  <c:v>2020-10-08</c:v>
                </c:pt>
                <c:pt idx="2">
                  <c:v>2020-10-10</c:v>
                </c:pt>
                <c:pt idx="3">
                  <c:v>2020-10-12</c:v>
                </c:pt>
                <c:pt idx="4">
                  <c:v>2020-10-13</c:v>
                </c:pt>
                <c:pt idx="5">
                  <c:v>2020-10-24</c:v>
                </c:pt>
                <c:pt idx="6">
                  <c:v>END</c:v>
                </c:pt>
              </c:strCache>
            </c:strRef>
          </c:cat>
          <c:val>
            <c:numRef>
              <c:f>DailyReportTotal!$B$9:$H$9</c:f>
              <c:numCache>
                <c:formatCode>General</c:formatCode>
                <c:ptCount val="7"/>
                <c:pt idx="0">
                  <c:v>9322</c:v>
                </c:pt>
                <c:pt idx="1">
                  <c:v>9333</c:v>
                </c:pt>
                <c:pt idx="2">
                  <c:v>9335</c:v>
                </c:pt>
                <c:pt idx="3">
                  <c:v>9338</c:v>
                </c:pt>
                <c:pt idx="4">
                  <c:v>9345</c:v>
                </c:pt>
                <c:pt idx="5">
                  <c:v>9377</c:v>
                </c:pt>
                <c:pt idx="6">
                  <c:v>9377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B6-4922-873C-4A63B93AB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878464"/>
        <c:axId val="232876672"/>
      </c:lineChart>
      <c:catAx>
        <c:axId val="1665546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txPr>
          <a:bodyPr rot="2700000"/>
          <a:lstStyle/>
          <a:p>
            <a:pPr>
              <a:defRPr lang="en-CA"/>
            </a:pPr>
            <a:endParaRPr lang="en-US"/>
          </a:p>
        </c:txPr>
        <c:crossAx val="232874752"/>
        <c:crosses val="autoZero"/>
        <c:auto val="1"/>
        <c:lblAlgn val="ctr"/>
        <c:lblOffset val="100"/>
        <c:noMultiLvlLbl val="0"/>
      </c:catAx>
      <c:valAx>
        <c:axId val="232874752"/>
        <c:scaling>
          <c:orientation val="minMax"/>
        </c:scaling>
        <c:delete val="0"/>
        <c:axPos val="l"/>
        <c:majorGridlines/>
        <c:numFmt formatCode="_-* #,##0.00_-;\-* #,##0.00_-;_-* &quot;-&quot;??_-;_-@_-" sourceLinked="1"/>
        <c:majorTickMark val="none"/>
        <c:minorTickMark val="none"/>
        <c:tickLblPos val="nextTo"/>
        <c:spPr>
          <a:ln w="9525">
            <a:noFill/>
          </a:ln>
          <a:effectLst>
            <a:outerShdw blurRad="50800" dist="38100" dir="5400000" algn="t" rotWithShape="0">
              <a:srgbClr val="0E8C53">
                <a:alpha val="40000"/>
              </a:srgbClr>
            </a:outerShdw>
          </a:effectLst>
        </c:spPr>
        <c:txPr>
          <a:bodyPr/>
          <a:lstStyle/>
          <a:p>
            <a:pPr>
              <a:defRPr lang="en-CA"/>
            </a:pPr>
            <a:endParaRPr lang="en-US"/>
          </a:p>
        </c:txPr>
        <c:crossAx val="166554624"/>
        <c:crosses val="autoZero"/>
        <c:crossBetween val="between"/>
        <c:dispUnits>
          <c:builtInUnit val="millions"/>
          <c:dispUnitsLbl>
            <c:txPr>
              <a:bodyPr/>
              <a:lstStyle/>
              <a:p>
                <a:pPr>
                  <a:defRPr lang="en-CA"/>
                </a:pPr>
                <a:endParaRPr lang="en-US"/>
              </a:p>
            </c:txPr>
          </c:dispUnitsLbl>
        </c:dispUnits>
      </c:valAx>
      <c:valAx>
        <c:axId val="2328766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effectLst>
            <a:outerShdw blurRad="50800" dist="38100" dir="5400000" algn="t" rotWithShape="0">
              <a:srgbClr val="F69300">
                <a:alpha val="40000"/>
              </a:srgbClr>
            </a:outerShdw>
          </a:effectLst>
        </c:spPr>
        <c:crossAx val="232878464"/>
        <c:crosses val="max"/>
        <c:crossBetween val="between"/>
      </c:valAx>
      <c:catAx>
        <c:axId val="2328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32876672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0.18290072732734131"/>
          <c:y val="0.1329385076865392"/>
          <c:w val="0.6425803805774275"/>
          <c:h val="8.2732287722313919E-2"/>
        </c:manualLayout>
      </c:layout>
      <c:overlay val="0"/>
    </c:legend>
    <c:plotVisOnly val="1"/>
    <c:dispBlanksAs val="zero"/>
    <c:showDLblsOverMax val="0"/>
  </c:chart>
  <c:spPr>
    <a:ln>
      <a:solidFill>
        <a:schemeClr val="accent1"/>
      </a:solidFill>
    </a:ln>
  </c:spPr>
  <c:printSettings>
    <c:headerFooter>
      <c:oddHeader>&amp;L&amp;G&amp;C&amp;"-,Bold"Daily Dashboard:
EFC Tanzania M.F.C. Limited&amp;R&amp;F</c:oddHeader>
    </c:headerFooter>
    <c:pageMargins b="0.75000000000000688" l="0.70000000000000062" r="0.70000000000000062" t="0.7500000000000068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lang="en-CA"/>
            </a:pPr>
            <a:r>
              <a:rPr lang="en-US">
                <a:solidFill>
                  <a:srgbClr val="0E8C53"/>
                </a:solidFill>
              </a:rPr>
              <a:t>Portfolio at Risk</a:t>
            </a:r>
          </a:p>
        </c:rich>
      </c:tx>
      <c:layout>
        <c:manualLayout>
          <c:xMode val="edge"/>
          <c:yMode val="edge"/>
          <c:x val="0.32805423845180132"/>
          <c:y val="3.25395575553056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469612810026652"/>
          <c:y val="0.1859146106736658"/>
          <c:w val="0.72567027452188282"/>
          <c:h val="0.55295312044327793"/>
        </c:manualLayout>
      </c:layout>
      <c:lineChart>
        <c:grouping val="stacked"/>
        <c:varyColors val="0"/>
        <c:ser>
          <c:idx val="0"/>
          <c:order val="0"/>
          <c:tx>
            <c:strRef>
              <c:f>DailyReportTotal!$A$12</c:f>
              <c:strCache>
                <c:ptCount val="1"/>
                <c:pt idx="0">
                  <c:v>Total Par1</c:v>
                </c:pt>
              </c:strCache>
            </c:strRef>
          </c:tx>
          <c:spPr>
            <a:ln>
              <a:solidFill>
                <a:srgbClr val="0E8C53"/>
              </a:solidFill>
            </a:ln>
          </c:spPr>
          <c:marker>
            <c:symbol val="none"/>
          </c:marker>
          <c:cat>
            <c:strRef>
              <c:f>DailyReportTotal!$B$1:$H$1</c:f>
              <c:strCache>
                <c:ptCount val="7"/>
                <c:pt idx="0">
                  <c:v>2020-10-07</c:v>
                </c:pt>
                <c:pt idx="1">
                  <c:v>2020-10-08</c:v>
                </c:pt>
                <c:pt idx="2">
                  <c:v>2020-10-10</c:v>
                </c:pt>
                <c:pt idx="3">
                  <c:v>2020-10-12</c:v>
                </c:pt>
                <c:pt idx="4">
                  <c:v>2020-10-13</c:v>
                </c:pt>
                <c:pt idx="5">
                  <c:v>2020-10-24</c:v>
                </c:pt>
                <c:pt idx="6">
                  <c:v>END</c:v>
                </c:pt>
              </c:strCache>
            </c:strRef>
          </c:cat>
          <c:val>
            <c:numRef>
              <c:f>DailyReportTotal!$B$12:$H$12</c:f>
              <c:numCache>
                <c:formatCode>0.00%</c:formatCode>
                <c:ptCount val="7"/>
                <c:pt idx="0">
                  <c:v>0.39466699999999999</c:v>
                </c:pt>
                <c:pt idx="1">
                  <c:v>0.39954400000000001</c:v>
                </c:pt>
                <c:pt idx="2">
                  <c:v>0.41201500000000002</c:v>
                </c:pt>
                <c:pt idx="3">
                  <c:v>0.40013700000000002</c:v>
                </c:pt>
                <c:pt idx="4">
                  <c:v>0.39002300000000001</c:v>
                </c:pt>
                <c:pt idx="5">
                  <c:v>0.44554700000000003</c:v>
                </c:pt>
                <c:pt idx="6">
                  <c:v>0.44554700000000003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6A-407F-ADC9-7CABD3B93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968576"/>
        <c:axId val="232970112"/>
      </c:lineChart>
      <c:lineChart>
        <c:grouping val="stacked"/>
        <c:varyColors val="0"/>
        <c:ser>
          <c:idx val="1"/>
          <c:order val="1"/>
          <c:tx>
            <c:strRef>
              <c:f>DailyReportTotal!$A$13</c:f>
              <c:strCache>
                <c:ptCount val="1"/>
                <c:pt idx="0">
                  <c:v>Total Par30</c:v>
                </c:pt>
              </c:strCache>
            </c:strRef>
          </c:tx>
          <c:spPr>
            <a:ln>
              <a:solidFill>
                <a:srgbClr val="F69300"/>
              </a:solidFill>
            </a:ln>
          </c:spPr>
          <c:marker>
            <c:symbol val="none"/>
          </c:marker>
          <c:cat>
            <c:strRef>
              <c:f>DailyReportTotal!$B$1:$H$1</c:f>
              <c:strCache>
                <c:ptCount val="7"/>
                <c:pt idx="0">
                  <c:v>2020-10-07</c:v>
                </c:pt>
                <c:pt idx="1">
                  <c:v>2020-10-08</c:v>
                </c:pt>
                <c:pt idx="2">
                  <c:v>2020-10-10</c:v>
                </c:pt>
                <c:pt idx="3">
                  <c:v>2020-10-12</c:v>
                </c:pt>
                <c:pt idx="4">
                  <c:v>2020-10-13</c:v>
                </c:pt>
                <c:pt idx="5">
                  <c:v>2020-10-24</c:v>
                </c:pt>
                <c:pt idx="6">
                  <c:v>END</c:v>
                </c:pt>
              </c:strCache>
            </c:strRef>
          </c:cat>
          <c:val>
            <c:numRef>
              <c:f>DailyReportTotal!$B$13:$H$13</c:f>
              <c:numCache>
                <c:formatCode>0.00%</c:formatCode>
                <c:ptCount val="7"/>
                <c:pt idx="0">
                  <c:v>0.120116</c:v>
                </c:pt>
                <c:pt idx="1">
                  <c:v>0.124844</c:v>
                </c:pt>
                <c:pt idx="2">
                  <c:v>0.13794300000000001</c:v>
                </c:pt>
                <c:pt idx="3">
                  <c:v>0.13585800000000001</c:v>
                </c:pt>
                <c:pt idx="4">
                  <c:v>0.134575</c:v>
                </c:pt>
                <c:pt idx="5">
                  <c:v>0.168019</c:v>
                </c:pt>
                <c:pt idx="6">
                  <c:v>0.168019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6A-407F-ADC9-7CABD3B93230}"/>
            </c:ext>
          </c:extLst>
        </c:ser>
        <c:ser>
          <c:idx val="2"/>
          <c:order val="2"/>
          <c:tx>
            <c:strRef>
              <c:f>DailyReportTotal!$A$14</c:f>
              <c:strCache>
                <c:ptCount val="1"/>
                <c:pt idx="0">
                  <c:v>Total Par90</c:v>
                </c:pt>
              </c:strCache>
            </c:strRef>
          </c:tx>
          <c:marker>
            <c:symbol val="none"/>
          </c:marker>
          <c:cat>
            <c:strRef>
              <c:f>DailyReportTotal!$B$1:$H$1</c:f>
              <c:strCache>
                <c:ptCount val="7"/>
                <c:pt idx="0">
                  <c:v>2020-10-07</c:v>
                </c:pt>
                <c:pt idx="1">
                  <c:v>2020-10-08</c:v>
                </c:pt>
                <c:pt idx="2">
                  <c:v>2020-10-10</c:v>
                </c:pt>
                <c:pt idx="3">
                  <c:v>2020-10-12</c:v>
                </c:pt>
                <c:pt idx="4">
                  <c:v>2020-10-13</c:v>
                </c:pt>
                <c:pt idx="5">
                  <c:v>2020-10-24</c:v>
                </c:pt>
                <c:pt idx="6">
                  <c:v>END</c:v>
                </c:pt>
              </c:strCache>
            </c:strRef>
          </c:cat>
          <c:val>
            <c:numRef>
              <c:f>DailyReportTotal!$B$14:$H$14</c:f>
              <c:numCache>
                <c:formatCode>0.00%</c:formatCode>
                <c:ptCount val="7"/>
                <c:pt idx="0">
                  <c:v>1.8616000000000001E-2</c:v>
                </c:pt>
                <c:pt idx="1">
                  <c:v>1.8440999999999999E-2</c:v>
                </c:pt>
                <c:pt idx="2">
                  <c:v>1.8421E-2</c:v>
                </c:pt>
                <c:pt idx="3">
                  <c:v>1.8391000000000001E-2</c:v>
                </c:pt>
                <c:pt idx="4">
                  <c:v>1.8386E-2</c:v>
                </c:pt>
                <c:pt idx="5">
                  <c:v>1.8117999999999999E-2</c:v>
                </c:pt>
                <c:pt idx="6">
                  <c:v>1.8117999999999999E-2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F5-4EF4-AE32-C3EC9C9E1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977536"/>
        <c:axId val="232971648"/>
      </c:lineChart>
      <c:catAx>
        <c:axId val="232968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2700000" vert="horz"/>
          <a:lstStyle/>
          <a:p>
            <a:pPr>
              <a:defRPr/>
            </a:pPr>
            <a:endParaRPr lang="en-US"/>
          </a:p>
        </c:txPr>
        <c:crossAx val="232970112"/>
        <c:crosses val="autoZero"/>
        <c:auto val="1"/>
        <c:lblAlgn val="ctr"/>
        <c:lblOffset val="100"/>
        <c:noMultiLvlLbl val="0"/>
      </c:catAx>
      <c:valAx>
        <c:axId val="23297011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effectLst>
            <a:outerShdw blurRad="50800" dist="38100" dir="5400000" algn="t" rotWithShape="0">
              <a:srgbClr val="0E8C53">
                <a:alpha val="40000"/>
              </a:srgbClr>
            </a:outerShdw>
          </a:effectLst>
        </c:spPr>
        <c:txPr>
          <a:bodyPr/>
          <a:lstStyle/>
          <a:p>
            <a:pPr>
              <a:defRPr lang="en-CA"/>
            </a:pPr>
            <a:endParaRPr lang="en-US"/>
          </a:p>
        </c:txPr>
        <c:crossAx val="232968576"/>
        <c:crosses val="autoZero"/>
        <c:crossBetween val="between"/>
      </c:valAx>
      <c:valAx>
        <c:axId val="23297164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effectLst>
            <a:outerShdw blurRad="50800" dist="38100" dir="5400000" algn="t" rotWithShape="0">
              <a:srgbClr val="F69300">
                <a:alpha val="40000"/>
              </a:srgbClr>
            </a:outerShdw>
          </a:effectLst>
        </c:spPr>
        <c:crossAx val="232977536"/>
        <c:crosses val="max"/>
        <c:crossBetween val="between"/>
      </c:valAx>
      <c:catAx>
        <c:axId val="232977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32971648"/>
        <c:crosses val="autoZero"/>
        <c:auto val="1"/>
        <c:lblAlgn val="ctr"/>
        <c:lblOffset val="100"/>
        <c:noMultiLvlLbl val="0"/>
      </c:catAx>
    </c:plotArea>
    <c:legend>
      <c:legendPos val="t"/>
      <c:layout>
        <c:manualLayout>
          <c:xMode val="edge"/>
          <c:yMode val="edge"/>
          <c:x val="0.19274430812427518"/>
          <c:y val="0.11543657042869641"/>
          <c:w val="0.60644345434517977"/>
          <c:h val="8.2377712931858582E-2"/>
        </c:manualLayout>
      </c:layout>
      <c:overlay val="0"/>
    </c:legend>
    <c:plotVisOnly val="1"/>
    <c:dispBlanksAs val="zero"/>
    <c:showDLblsOverMax val="0"/>
  </c:chart>
  <c:spPr>
    <a:ln>
      <a:solidFill>
        <a:schemeClr val="accent1"/>
      </a:solidFill>
    </a:ln>
  </c:spPr>
  <c:printSettings>
    <c:headerFooter/>
    <c:pageMargins b="0.75000000000000688" l="0.70000000000000062" r="0.70000000000000062" t="0.75000000000000688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CA"/>
            </a:pPr>
            <a:r>
              <a:rPr lang="en-US">
                <a:solidFill>
                  <a:srgbClr val="0E8C53"/>
                </a:solidFill>
              </a:rPr>
              <a:t>Loan Portfolio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047936835375839"/>
          <c:y val="0.18178673069295209"/>
          <c:w val="0.6243926158790567"/>
          <c:h val="0.58282482193313023"/>
        </c:manualLayout>
      </c:layout>
      <c:lineChart>
        <c:grouping val="stacked"/>
        <c:varyColors val="0"/>
        <c:ser>
          <c:idx val="1"/>
          <c:order val="1"/>
          <c:tx>
            <c:strRef>
              <c:f>DailyReportTotal!$A$10</c:f>
              <c:strCache>
                <c:ptCount val="1"/>
                <c:pt idx="0">
                  <c:v>Total Outstanding</c:v>
                </c:pt>
              </c:strCache>
            </c:strRef>
          </c:tx>
          <c:spPr>
            <a:ln>
              <a:solidFill>
                <a:srgbClr val="0E8C53"/>
              </a:solidFill>
            </a:ln>
          </c:spPr>
          <c:marker>
            <c:symbol val="none"/>
          </c:marker>
          <c:cat>
            <c:strRef>
              <c:f>DailyReportTotal!$B$1:$H$1</c:f>
              <c:strCache>
                <c:ptCount val="7"/>
                <c:pt idx="0">
                  <c:v>2020-10-07</c:v>
                </c:pt>
                <c:pt idx="1">
                  <c:v>2020-10-08</c:v>
                </c:pt>
                <c:pt idx="2">
                  <c:v>2020-10-10</c:v>
                </c:pt>
                <c:pt idx="3">
                  <c:v>2020-10-12</c:v>
                </c:pt>
                <c:pt idx="4">
                  <c:v>2020-10-13</c:v>
                </c:pt>
                <c:pt idx="5">
                  <c:v>2020-10-24</c:v>
                </c:pt>
                <c:pt idx="6">
                  <c:v>END</c:v>
                </c:pt>
              </c:strCache>
            </c:strRef>
          </c:cat>
          <c:val>
            <c:numRef>
              <c:f>DailyReportTotal!$B$10:$H$10</c:f>
              <c:numCache>
                <c:formatCode>_-* #,##0.00_-;\-* #,##0.00_-;_-* "-"??_-;_-@_-</c:formatCode>
                <c:ptCount val="7"/>
                <c:pt idx="0">
                  <c:v>59244287857.980003</c:v>
                </c:pt>
                <c:pt idx="1">
                  <c:v>59377648582.900002</c:v>
                </c:pt>
                <c:pt idx="2">
                  <c:v>59441040544.040001</c:v>
                </c:pt>
                <c:pt idx="3">
                  <c:v>59535876533.400002</c:v>
                </c:pt>
                <c:pt idx="4">
                  <c:v>59552701413.489998</c:v>
                </c:pt>
                <c:pt idx="5">
                  <c:v>59961123887.690002</c:v>
                </c:pt>
                <c:pt idx="6" formatCode="_-* #,##0_-;\-* #,##0_-;_-* &quot;-&quot;??_-;_-@_-">
                  <c:v>59961123887.690002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F6-42A6-954A-D26AFD85B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683840"/>
        <c:axId val="235685376"/>
      </c:lineChart>
      <c:lineChart>
        <c:grouping val="stacked"/>
        <c:varyColors val="0"/>
        <c:ser>
          <c:idx val="0"/>
          <c:order val="0"/>
          <c:tx>
            <c:strRef>
              <c:f>DailyReportTotal!$A$15</c:f>
              <c:strCache>
                <c:ptCount val="1"/>
                <c:pt idx="0">
                  <c:v>Total Disbursement (month)</c:v>
                </c:pt>
              </c:strCache>
            </c:strRef>
          </c:tx>
          <c:spPr>
            <a:ln>
              <a:solidFill>
                <a:srgbClr val="F69300"/>
              </a:solidFill>
            </a:ln>
          </c:spPr>
          <c:marker>
            <c:symbol val="none"/>
          </c:marker>
          <c:cat>
            <c:strRef>
              <c:f>DailyReportTotal!$B$1:$H$1</c:f>
              <c:strCache>
                <c:ptCount val="7"/>
                <c:pt idx="0">
                  <c:v>2020-10-07</c:v>
                </c:pt>
                <c:pt idx="1">
                  <c:v>2020-10-08</c:v>
                </c:pt>
                <c:pt idx="2">
                  <c:v>2020-10-10</c:v>
                </c:pt>
                <c:pt idx="3">
                  <c:v>2020-10-12</c:v>
                </c:pt>
                <c:pt idx="4">
                  <c:v>2020-10-13</c:v>
                </c:pt>
                <c:pt idx="5">
                  <c:v>2020-10-24</c:v>
                </c:pt>
                <c:pt idx="6">
                  <c:v>END</c:v>
                </c:pt>
              </c:strCache>
            </c:strRef>
          </c:cat>
          <c:val>
            <c:numRef>
              <c:f>DailyReportTotal!$B$15:$H$15</c:f>
              <c:numCache>
                <c:formatCode>_-* #,##0_-;\-* #,##0_-;_-* "-"??_-;_-@_-</c:formatCode>
                <c:ptCount val="7"/>
                <c:pt idx="0">
                  <c:v>1510939541.4400001</c:v>
                </c:pt>
                <c:pt idx="1">
                  <c:v>2690944214.6599998</c:v>
                </c:pt>
                <c:pt idx="2">
                  <c:v>2784944214.6599998</c:v>
                </c:pt>
                <c:pt idx="3">
                  <c:v>3371089439.6500001</c:v>
                </c:pt>
                <c:pt idx="4">
                  <c:v>3554594193.23</c:v>
                </c:pt>
                <c:pt idx="5">
                  <c:v>5420149441.3599997</c:v>
                </c:pt>
                <c:pt idx="6">
                  <c:v>5420149441.3599997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F6-42A6-954A-D26AFD85B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689472"/>
        <c:axId val="235687296"/>
      </c:lineChart>
      <c:catAx>
        <c:axId val="23568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2700000"/>
          <a:lstStyle/>
          <a:p>
            <a:pPr>
              <a:defRPr lang="en-CA"/>
            </a:pPr>
            <a:endParaRPr lang="en-US"/>
          </a:p>
        </c:txPr>
        <c:crossAx val="235685376"/>
        <c:crosses val="autoZero"/>
        <c:auto val="1"/>
        <c:lblAlgn val="ctr"/>
        <c:lblOffset val="100"/>
        <c:noMultiLvlLbl val="0"/>
      </c:catAx>
      <c:valAx>
        <c:axId val="235685376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effectLst>
            <a:outerShdw blurRad="50800" dist="38100" dir="5400000" algn="t" rotWithShape="0">
              <a:srgbClr val="0E8C53">
                <a:alpha val="40000"/>
              </a:srgbClr>
            </a:outerShdw>
          </a:effectLst>
        </c:spPr>
        <c:txPr>
          <a:bodyPr/>
          <a:lstStyle/>
          <a:p>
            <a:pPr>
              <a:defRPr lang="en-CA"/>
            </a:pPr>
            <a:endParaRPr lang="en-US"/>
          </a:p>
        </c:txPr>
        <c:crossAx val="235683840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0"/>
                <c:y val="0.19912363001279754"/>
              </c:manualLayout>
            </c:layout>
            <c:tx>
              <c:rich>
                <a:bodyPr/>
                <a:lstStyle/>
                <a:p>
                  <a:pPr>
                    <a:defRPr lang="en-CA"/>
                  </a:pPr>
                  <a:r>
                    <a:rPr lang="en-US"/>
                    <a:t>Billions</a:t>
                  </a:r>
                </a:p>
              </c:rich>
            </c:tx>
          </c:dispUnitsLbl>
        </c:dispUnits>
      </c:valAx>
      <c:valAx>
        <c:axId val="235687296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effectLst>
            <a:outerShdw blurRad="50800" dist="38100" dir="5400000" algn="t" rotWithShape="0">
              <a:srgbClr val="F69300">
                <a:alpha val="40000"/>
              </a:srgbClr>
            </a:outerShdw>
          </a:effectLst>
        </c:spPr>
        <c:crossAx val="235689472"/>
        <c:crosses val="max"/>
        <c:crossBetween val="between"/>
        <c:dispUnits>
          <c:builtInUnit val="millions"/>
          <c:dispUnitsLbl/>
        </c:dispUnits>
      </c:valAx>
      <c:catAx>
        <c:axId val="235689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35687296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1494928240740741"/>
          <c:y val="0.10842361111111111"/>
          <c:w val="0.77995162037037036"/>
          <c:h val="6.9840857306337614E-2"/>
        </c:manualLayout>
      </c:layout>
      <c:overlay val="0"/>
    </c:legend>
    <c:plotVisOnly val="1"/>
    <c:dispBlanksAs val="zero"/>
    <c:showDLblsOverMax val="0"/>
  </c:chart>
  <c:spPr>
    <a:ln>
      <a:solidFill>
        <a:schemeClr val="accent1"/>
      </a:solidFill>
    </a:ln>
  </c:spPr>
  <c:printSettings>
    <c:headerFooter/>
    <c:pageMargins b="0.75000000000000688" l="0.70000000000000062" r="0.70000000000000062" t="0.75000000000000688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CA"/>
            </a:pPr>
            <a:r>
              <a:rPr lang="en-US">
                <a:solidFill>
                  <a:srgbClr val="0E8C53"/>
                </a:solidFill>
              </a:rPr>
              <a:t>Disbursement (Per day)</a:t>
            </a:r>
          </a:p>
        </c:rich>
      </c:tx>
      <c:layout>
        <c:manualLayout>
          <c:xMode val="edge"/>
          <c:yMode val="edge"/>
          <c:x val="0.23421522309711523"/>
          <c:y val="2.777777777777850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140529308836764"/>
          <c:y val="0.19480351414406533"/>
          <c:w val="0.70735318883261655"/>
          <c:h val="0.55295312044327793"/>
        </c:manualLayout>
      </c:layout>
      <c:lineChart>
        <c:grouping val="stacked"/>
        <c:varyColors val="0"/>
        <c:ser>
          <c:idx val="0"/>
          <c:order val="0"/>
          <c:tx>
            <c:strRef>
              <c:f>DailyReportTotal!$A$17</c:f>
              <c:strCache>
                <c:ptCount val="1"/>
                <c:pt idx="0">
                  <c:v>Total Disbursement (day)</c:v>
                </c:pt>
              </c:strCache>
            </c:strRef>
          </c:tx>
          <c:spPr>
            <a:ln>
              <a:solidFill>
                <a:srgbClr val="0E8C53"/>
              </a:solidFill>
            </a:ln>
          </c:spPr>
          <c:marker>
            <c:symbol val="none"/>
          </c:marker>
          <c:cat>
            <c:strRef>
              <c:f>DailyReportTotal!$B$1:$H$1</c:f>
              <c:strCache>
                <c:ptCount val="7"/>
                <c:pt idx="0">
                  <c:v>2020-10-07</c:v>
                </c:pt>
                <c:pt idx="1">
                  <c:v>2020-10-08</c:v>
                </c:pt>
                <c:pt idx="2">
                  <c:v>2020-10-10</c:v>
                </c:pt>
                <c:pt idx="3">
                  <c:v>2020-10-12</c:v>
                </c:pt>
                <c:pt idx="4">
                  <c:v>2020-10-13</c:v>
                </c:pt>
                <c:pt idx="5">
                  <c:v>2020-10-24</c:v>
                </c:pt>
                <c:pt idx="6">
                  <c:v>END</c:v>
                </c:pt>
              </c:strCache>
            </c:strRef>
          </c:cat>
          <c:val>
            <c:numRef>
              <c:f>DailyReportTotal!$B$17:$H$17</c:f>
              <c:numCache>
                <c:formatCode>_-* #,##0_-;\-* #,##0_-;_-* "-"??_-;_-@_-</c:formatCode>
                <c:ptCount val="7"/>
                <c:pt idx="0">
                  <c:v>1510939541.4400001</c:v>
                </c:pt>
                <c:pt idx="1">
                  <c:v>1180004673.2199998</c:v>
                </c:pt>
                <c:pt idx="2">
                  <c:v>94000000</c:v>
                </c:pt>
                <c:pt idx="3">
                  <c:v>586145224.99000025</c:v>
                </c:pt>
                <c:pt idx="4">
                  <c:v>183504753.57999992</c:v>
                </c:pt>
                <c:pt idx="5">
                  <c:v>1865555248.1299996</c:v>
                </c:pt>
                <c:pt idx="6">
                  <c:v>1865555248.1299996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B-4553-A96B-2CB59A30E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5698432"/>
        <c:axId val="235700224"/>
      </c:lineChart>
      <c:catAx>
        <c:axId val="23569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2700000"/>
          <a:lstStyle/>
          <a:p>
            <a:pPr>
              <a:defRPr lang="en-CA"/>
            </a:pPr>
            <a:endParaRPr lang="en-US"/>
          </a:p>
        </c:txPr>
        <c:crossAx val="235700224"/>
        <c:crosses val="autoZero"/>
        <c:auto val="1"/>
        <c:lblAlgn val="ctr"/>
        <c:lblOffset val="100"/>
        <c:noMultiLvlLbl val="0"/>
      </c:catAx>
      <c:valAx>
        <c:axId val="235700224"/>
        <c:scaling>
          <c:orientation val="minMax"/>
        </c:scaling>
        <c:delete val="0"/>
        <c:axPos val="l"/>
        <c:majorGridlines/>
        <c:numFmt formatCode="_-* #,##0_-;\-* #,##0_-;_-* &quot;-&quot;??_-;_-@_-" sourceLinked="1"/>
        <c:majorTickMark val="out"/>
        <c:minorTickMark val="none"/>
        <c:tickLblPos val="nextTo"/>
        <c:spPr>
          <a:effectLst>
            <a:outerShdw blurRad="50800" dist="38100" dir="5400000" algn="t" rotWithShape="0">
              <a:srgbClr val="0E8C53">
                <a:alpha val="40000"/>
              </a:srgbClr>
            </a:outerShdw>
          </a:effectLst>
        </c:spPr>
        <c:txPr>
          <a:bodyPr/>
          <a:lstStyle/>
          <a:p>
            <a:pPr>
              <a:defRPr lang="en-CA"/>
            </a:pPr>
            <a:endParaRPr lang="en-US"/>
          </a:p>
        </c:txPr>
        <c:crossAx val="235698432"/>
        <c:crosses val="autoZero"/>
        <c:crossBetween val="between"/>
        <c:dispUnits>
          <c:builtInUnit val="millions"/>
          <c:dispUnitsLbl>
            <c:txPr>
              <a:bodyPr/>
              <a:lstStyle/>
              <a:p>
                <a:pPr>
                  <a:defRPr lang="en-CA"/>
                </a:pPr>
                <a:endParaRPr lang="en-US"/>
              </a:p>
            </c:txPr>
          </c:dispUnitsLbl>
        </c:dispUnits>
      </c:valAx>
    </c:plotArea>
    <c:plotVisOnly val="1"/>
    <c:dispBlanksAs val="zero"/>
    <c:showDLblsOverMax val="0"/>
  </c:chart>
  <c:spPr>
    <a:ln>
      <a:solidFill>
        <a:schemeClr val="accent1"/>
      </a:solidFill>
    </a:ln>
  </c:spPr>
  <c:printSettings>
    <c:headerFooter>
      <c:oddHeader>&amp;L&amp;G&amp;C&amp;"-,Bold"Daily Dashboard:
EFC Tanzania M.F.C. Limited&amp;R=</c:oddHeader>
    </c:headerFooter>
    <c:pageMargins b="0.75000000000000688" l="0.70000000000000062" r="0.70000000000000062" t="0.75000000000000688" header="0.30000000000000032" footer="0.30000000000000032"/>
    <c:pageSetup paperSize="9"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CA"/>
            </a:pPr>
            <a:r>
              <a:rPr lang="en-US">
                <a:solidFill>
                  <a:srgbClr val="0E8C53"/>
                </a:solidFill>
              </a:rPr>
              <a:t>Liquidity</a:t>
            </a:r>
          </a:p>
        </c:rich>
      </c:tx>
      <c:layout>
        <c:manualLayout>
          <c:xMode val="edge"/>
          <c:yMode val="edge"/>
          <c:x val="0.41608274128600664"/>
          <c:y val="2.777777777777820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041315071772618"/>
          <c:y val="0.19480351414406533"/>
          <c:w val="0.64040578703703699"/>
          <c:h val="0.55295312044327793"/>
        </c:manualLayout>
      </c:layout>
      <c:lineChart>
        <c:grouping val="stacked"/>
        <c:varyColors val="0"/>
        <c:ser>
          <c:idx val="0"/>
          <c:order val="0"/>
          <c:tx>
            <c:strRef>
              <c:f>DailyReportTotal!$A$3</c:f>
              <c:strCache>
                <c:ptCount val="1"/>
                <c:pt idx="0">
                  <c:v>Total Bank Accounts (UGS)</c:v>
                </c:pt>
              </c:strCache>
            </c:strRef>
          </c:tx>
          <c:spPr>
            <a:ln>
              <a:solidFill>
                <a:srgbClr val="0E8C53"/>
              </a:solidFill>
            </a:ln>
          </c:spPr>
          <c:marker>
            <c:symbol val="none"/>
          </c:marker>
          <c:cat>
            <c:strRef>
              <c:f>DailyReportTotal!$B$1:$H$1</c:f>
              <c:strCache>
                <c:ptCount val="7"/>
                <c:pt idx="0">
                  <c:v>2020-10-07</c:v>
                </c:pt>
                <c:pt idx="1">
                  <c:v>2020-10-08</c:v>
                </c:pt>
                <c:pt idx="2">
                  <c:v>2020-10-10</c:v>
                </c:pt>
                <c:pt idx="3">
                  <c:v>2020-10-12</c:v>
                </c:pt>
                <c:pt idx="4">
                  <c:v>2020-10-13</c:v>
                </c:pt>
                <c:pt idx="5">
                  <c:v>2020-10-24</c:v>
                </c:pt>
                <c:pt idx="6">
                  <c:v>END</c:v>
                </c:pt>
              </c:strCache>
            </c:strRef>
          </c:cat>
          <c:val>
            <c:numRef>
              <c:f>DailyReportTotal!$B$3:$H$3</c:f>
              <c:numCache>
                <c:formatCode>_-* #,##0.00_-;\-* #,##0.00_-;_-* "-"??_-;_-@_-</c:formatCode>
                <c:ptCount val="7"/>
                <c:pt idx="0">
                  <c:v>5557707940.1800003</c:v>
                </c:pt>
                <c:pt idx="1">
                  <c:v>5029609851.1800003</c:v>
                </c:pt>
                <c:pt idx="2">
                  <c:v>5029609851.1800003</c:v>
                </c:pt>
                <c:pt idx="3">
                  <c:v>5157680251.1800003</c:v>
                </c:pt>
                <c:pt idx="4">
                  <c:v>4882256951.2600002</c:v>
                </c:pt>
                <c:pt idx="5">
                  <c:v>3780657682.2600002</c:v>
                </c:pt>
                <c:pt idx="6" formatCode="_-* #,##0_-;\-* #,##0_-;_-* &quot;-&quot;??_-;_-@_-">
                  <c:v>3780657682.2600002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66-482C-88D0-758D9CBEC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715200"/>
        <c:axId val="222626176"/>
      </c:lineChart>
      <c:lineChart>
        <c:grouping val="stacked"/>
        <c:varyColors val="0"/>
        <c:ser>
          <c:idx val="1"/>
          <c:order val="1"/>
          <c:tx>
            <c:strRef>
              <c:f>DailyReportTotal!$A$5</c:f>
              <c:strCache>
                <c:ptCount val="1"/>
                <c:pt idx="0">
                  <c:v>Total Investments (UGS)</c:v>
                </c:pt>
              </c:strCache>
            </c:strRef>
          </c:tx>
          <c:spPr>
            <a:ln>
              <a:solidFill>
                <a:srgbClr val="F69300"/>
              </a:solidFill>
            </a:ln>
          </c:spPr>
          <c:marker>
            <c:symbol val="none"/>
          </c:marker>
          <c:cat>
            <c:strRef>
              <c:f>DailyReportTotal!$B$1:$H$1</c:f>
              <c:strCache>
                <c:ptCount val="7"/>
                <c:pt idx="0">
                  <c:v>2020-10-07</c:v>
                </c:pt>
                <c:pt idx="1">
                  <c:v>2020-10-08</c:v>
                </c:pt>
                <c:pt idx="2">
                  <c:v>2020-10-10</c:v>
                </c:pt>
                <c:pt idx="3">
                  <c:v>2020-10-12</c:v>
                </c:pt>
                <c:pt idx="4">
                  <c:v>2020-10-13</c:v>
                </c:pt>
                <c:pt idx="5">
                  <c:v>2020-10-24</c:v>
                </c:pt>
                <c:pt idx="6">
                  <c:v>END</c:v>
                </c:pt>
              </c:strCache>
            </c:strRef>
          </c:cat>
          <c:val>
            <c:numRef>
              <c:f>DailyReportTotal!$B$5:$H$5</c:f>
              <c:numCache>
                <c:formatCode>_-* #,##0.00_-;\-* #,##0.00_-;_-* "-"??_-;_-@_-</c:formatCode>
                <c:ptCount val="7"/>
                <c:pt idx="0">
                  <c:v>1300000000</c:v>
                </c:pt>
                <c:pt idx="1">
                  <c:v>1300000000</c:v>
                </c:pt>
                <c:pt idx="2">
                  <c:v>1300000000</c:v>
                </c:pt>
                <c:pt idx="3">
                  <c:v>1300000000</c:v>
                </c:pt>
                <c:pt idx="4">
                  <c:v>1300000000</c:v>
                </c:pt>
                <c:pt idx="5">
                  <c:v>1300000000</c:v>
                </c:pt>
                <c:pt idx="6" formatCode="_-* #,##0_-;\-* #,##0_-;_-* &quot;-&quot;??_-;_-@_-">
                  <c:v>1300000000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66-482C-88D0-758D9CBEC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630272"/>
        <c:axId val="222628096"/>
      </c:lineChart>
      <c:catAx>
        <c:axId val="235715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2700000"/>
          <a:lstStyle/>
          <a:p>
            <a:pPr>
              <a:defRPr lang="en-CA"/>
            </a:pPr>
            <a:endParaRPr lang="en-US"/>
          </a:p>
        </c:txPr>
        <c:crossAx val="222626176"/>
        <c:crosses val="autoZero"/>
        <c:auto val="1"/>
        <c:lblAlgn val="ctr"/>
        <c:lblOffset val="100"/>
        <c:noMultiLvlLbl val="0"/>
      </c:catAx>
      <c:valAx>
        <c:axId val="222626176"/>
        <c:scaling>
          <c:orientation val="minMax"/>
        </c:scaling>
        <c:delete val="0"/>
        <c:axPos val="l"/>
        <c:majorGridlines/>
        <c:numFmt formatCode="_-* #,##0.00_-;\-* #,##0.00_-;_-* &quot;-&quot;??_-;_-@_-" sourceLinked="1"/>
        <c:majorTickMark val="out"/>
        <c:minorTickMark val="none"/>
        <c:tickLblPos val="nextTo"/>
        <c:spPr>
          <a:effectLst>
            <a:outerShdw blurRad="50800" dist="38100" dir="5400000" algn="t" rotWithShape="0">
              <a:srgbClr val="0E8C53">
                <a:alpha val="40000"/>
              </a:srgbClr>
            </a:outerShdw>
          </a:effectLst>
        </c:spPr>
        <c:txPr>
          <a:bodyPr/>
          <a:lstStyle/>
          <a:p>
            <a:pPr>
              <a:defRPr lang="en-CA"/>
            </a:pPr>
            <a:endParaRPr lang="en-US"/>
          </a:p>
        </c:txPr>
        <c:crossAx val="235715200"/>
        <c:crosses val="autoZero"/>
        <c:crossBetween val="between"/>
        <c:dispUnits>
          <c:builtInUnit val="billions"/>
          <c:dispUnitsLbl>
            <c:txPr>
              <a:bodyPr/>
              <a:lstStyle/>
              <a:p>
                <a:pPr>
                  <a:defRPr lang="en-CA"/>
                </a:pPr>
                <a:endParaRPr lang="en-US"/>
              </a:p>
            </c:txPr>
          </c:dispUnitsLbl>
        </c:dispUnits>
      </c:valAx>
      <c:valAx>
        <c:axId val="222628096"/>
        <c:scaling>
          <c:orientation val="minMax"/>
        </c:scaling>
        <c:delete val="0"/>
        <c:axPos val="r"/>
        <c:numFmt formatCode="_-* #,##0.00_-;\-* #,##0.00_-;_-* &quot;-&quot;??_-;_-@_-" sourceLinked="1"/>
        <c:majorTickMark val="out"/>
        <c:minorTickMark val="none"/>
        <c:tickLblPos val="nextTo"/>
        <c:spPr>
          <a:effectLst>
            <a:outerShdw blurRad="50800" dist="38100" dir="5400000" algn="t" rotWithShape="0">
              <a:srgbClr val="F69300">
                <a:alpha val="40000"/>
              </a:srgbClr>
            </a:outerShdw>
          </a:effectLst>
        </c:spPr>
        <c:crossAx val="222630272"/>
        <c:crosses val="max"/>
        <c:crossBetween val="between"/>
        <c:dispUnits>
          <c:builtInUnit val="millions"/>
          <c:dispUnitsLbl/>
        </c:dispUnits>
      </c:valAx>
      <c:catAx>
        <c:axId val="222630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22628096"/>
        <c:crosses val="autoZero"/>
        <c:auto val="1"/>
        <c:lblAlgn val="ctr"/>
        <c:lblOffset val="100"/>
        <c:noMultiLvlLbl val="0"/>
      </c:catAx>
    </c:plotArea>
    <c:legend>
      <c:legendPos val="t"/>
      <c:layout>
        <c:manualLayout>
          <c:xMode val="edge"/>
          <c:yMode val="edge"/>
          <c:x val="9.5723366419588563E-2"/>
          <c:y val="0.12488444152814272"/>
          <c:w val="0.8085532671608231"/>
          <c:h val="5.5939413823272104E-2"/>
        </c:manualLayout>
      </c:layout>
      <c:overlay val="0"/>
    </c:legend>
    <c:plotVisOnly val="1"/>
    <c:dispBlanksAs val="zero"/>
    <c:showDLblsOverMax val="0"/>
  </c:chart>
  <c:spPr>
    <a:ln>
      <a:solidFill>
        <a:schemeClr val="accent1"/>
      </a:solidFill>
    </a:ln>
  </c:spPr>
  <c:printSettings>
    <c:headerFooter/>
    <c:pageMargins b="0.75000000000000688" l="0.70000000000000062" r="0.70000000000000062" t="0.75000000000000688" header="0.30000000000000032" footer="0.3000000000000003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 sz="1600">
                <a:solidFill>
                  <a:srgbClr val="0E8C53"/>
                </a:solidFill>
              </a:rPr>
              <a:t>PAR 30 days</a:t>
            </a:r>
          </a:p>
        </c:rich>
      </c:tx>
      <c:layout>
        <c:manualLayout>
          <c:xMode val="edge"/>
          <c:yMode val="edge"/>
          <c:x val="0.25015243902439022"/>
          <c:y val="0.602192172094800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7624365283672656E-2"/>
          <c:y val="3.5812768521781752E-2"/>
          <c:w val="0.95027816575833057"/>
          <c:h val="0.94766095165330455"/>
        </c:manualLayout>
      </c:layout>
      <c:doughnutChart>
        <c:varyColors val="1"/>
        <c:ser>
          <c:idx val="0"/>
          <c:order val="0"/>
          <c:spPr>
            <a:solidFill>
              <a:srgbClr val="9999FF"/>
            </a:solidFill>
            <a:ln w="25400">
              <a:noFill/>
            </a:ln>
          </c:spPr>
          <c:dPt>
            <c:idx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4757-48D6-B3C9-878BBB8E8D95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4757-48D6-B3C9-878BBB8E8D95}"/>
              </c:ext>
            </c:extLst>
          </c:dPt>
          <c:dPt>
            <c:idx val="2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4757-48D6-B3C9-878BBB8E8D95}"/>
              </c:ext>
            </c:extLst>
          </c:dPt>
          <c:dPt>
            <c:idx val="3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4757-48D6-B3C9-878BBB8E8D95}"/>
              </c:ext>
            </c:extLst>
          </c:dPt>
          <c:cat>
            <c:numRef>
              <c:f>'PAR30'!$B$6:$B$16</c:f>
              <c:numCache>
                <c:formatCode>General</c:formatCode>
                <c:ptCount val="11"/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'PAR30'!$D$6:$D$9</c:f>
              <c:numCache>
                <c:formatCode>0.00%</c:formatCode>
                <c:ptCount val="4"/>
                <c:pt idx="0">
                  <c:v>0.32603799999999999</c:v>
                </c:pt>
                <c:pt idx="1">
                  <c:v>0.01</c:v>
                </c:pt>
                <c:pt idx="2">
                  <c:v>0.66396199999999994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757-48D6-B3C9-878BBB8E8D95}"/>
            </c:ext>
          </c:extLst>
        </c:ser>
        <c:ser>
          <c:idx val="1"/>
          <c:order val="1"/>
          <c:spPr>
            <a:solidFill>
              <a:srgbClr val="993366"/>
            </a:solidFill>
            <a:ln w="25400"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A-4757-48D6-B3C9-878BBB8E8D95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C-4757-48D6-B3C9-878BBB8E8D95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E-4757-48D6-B3C9-878BBB8E8D95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4757-48D6-B3C9-878BBB8E8D95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2-4757-48D6-B3C9-878BBB8E8D95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4757-48D6-B3C9-878BBB8E8D95}"/>
              </c:ext>
            </c:extLst>
          </c:dPt>
          <c:dPt>
            <c:idx val="7"/>
            <c:bubble3D val="0"/>
            <c:spPr>
              <a:solidFill>
                <a:srgbClr val="CCCC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6-4757-48D6-B3C9-878BBB8E8D95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4757-48D6-B3C9-878BBB8E8D95}"/>
              </c:ext>
            </c:extLst>
          </c:dPt>
          <c:dPt>
            <c:idx val="9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A-4757-48D6-B3C9-878BBB8E8D95}"/>
              </c:ext>
            </c:extLst>
          </c:dPt>
          <c:cat>
            <c:numRef>
              <c:f>'PAR30'!$B$6:$B$16</c:f>
              <c:numCache>
                <c:formatCode>General</c:formatCode>
                <c:ptCount val="11"/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'PAR30'!$E$6:$E$15</c:f>
              <c:numCache>
                <c:formatCode>0.00%</c:formatCode>
                <c:ptCount val="10"/>
                <c:pt idx="0">
                  <c:v>0.06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0.16603799999999999</c:v>
                </c:pt>
                <c:pt idx="7">
                  <c:v>0.01</c:v>
                </c:pt>
                <c:pt idx="8">
                  <c:v>0.66396200000000005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757-48D6-B3C9-878BBB8E8D95}"/>
            </c:ext>
          </c:extLst>
        </c:ser>
        <c:ser>
          <c:idx val="2"/>
          <c:order val="2"/>
          <c:spPr>
            <a:noFill/>
            <a:ln w="25400">
              <a:noFill/>
            </a:ln>
          </c:spPr>
          <c:dLbls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'PAR30'!$B$6:$B$16</c:f>
              <c:numCache>
                <c:formatCode>General</c:formatCode>
                <c:ptCount val="11"/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'PAR30'!$G$6:$G$17</c:f>
              <c:numCache>
                <c:formatCode>0%</c:formatCode>
                <c:ptCount val="12"/>
                <c:pt idx="0">
                  <c:v>5.0000000000000001E-3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9.9999999999999992E-2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757-48D6-B3C9-878BBB8E8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2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bg1"/>
    </a:solidFill>
    <a:ln w="9525" cmpd="dbl">
      <a:solidFill>
        <a:schemeClr val="accent1"/>
      </a:solidFill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11" r="0.75000000000000411" t="1" header="0.492125984500002" footer="0.492125984500002"/>
    <c:pageSetup paperSize="9" orientation="landscape" horizontalDpi="0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 sz="1600">
                <a:solidFill>
                  <a:srgbClr val="0E8C53"/>
                </a:solidFill>
              </a:rPr>
              <a:t>PAR</a:t>
            </a:r>
            <a:r>
              <a:rPr lang="en-CA" sz="1600" baseline="0">
                <a:solidFill>
                  <a:srgbClr val="0E8C53"/>
                </a:solidFill>
              </a:rPr>
              <a:t> 1 day</a:t>
            </a:r>
            <a:endParaRPr lang="en-CA" sz="1600">
              <a:solidFill>
                <a:srgbClr val="0E8C53"/>
              </a:solidFill>
            </a:endParaRPr>
          </a:p>
        </c:rich>
      </c:tx>
      <c:layout>
        <c:manualLayout>
          <c:xMode val="edge"/>
          <c:yMode val="edge"/>
          <c:x val="0.26115975713879125"/>
          <c:y val="0.6411483253588562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7624365283672656E-2"/>
          <c:y val="3.5812768521781752E-2"/>
          <c:w val="0.95027816575833057"/>
          <c:h val="0.94766095165330455"/>
        </c:manualLayout>
      </c:layout>
      <c:doughnutChart>
        <c:varyColors val="1"/>
        <c:ser>
          <c:idx val="0"/>
          <c:order val="0"/>
          <c:spPr>
            <a:solidFill>
              <a:srgbClr val="9999FF"/>
            </a:solidFill>
            <a:ln w="25400">
              <a:noFill/>
            </a:ln>
          </c:spPr>
          <c:dPt>
            <c:idx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66DA-48F1-AE9E-F7BE8740983B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66DA-48F1-AE9E-F7BE8740983B}"/>
              </c:ext>
            </c:extLst>
          </c:dPt>
          <c:dPt>
            <c:idx val="2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66DA-48F1-AE9E-F7BE8740983B}"/>
              </c:ext>
            </c:extLst>
          </c:dPt>
          <c:dPt>
            <c:idx val="3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66DA-48F1-AE9E-F7BE8740983B}"/>
              </c:ext>
            </c:extLst>
          </c:dPt>
          <c:cat>
            <c:numRef>
              <c:f>'PAR1'!$B$6:$B$16</c:f>
              <c:numCache>
                <c:formatCode>General</c:formatCode>
                <c:ptCount val="11"/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'PAR1'!$D$6:$D$9</c:f>
              <c:numCache>
                <c:formatCode>0.00%</c:formatCode>
                <c:ptCount val="4"/>
                <c:pt idx="0">
                  <c:v>0.88109400000000004</c:v>
                </c:pt>
                <c:pt idx="1">
                  <c:v>0.01</c:v>
                </c:pt>
                <c:pt idx="2">
                  <c:v>0.10890599999999995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6DA-48F1-AE9E-F7BE8740983B}"/>
            </c:ext>
          </c:extLst>
        </c:ser>
        <c:ser>
          <c:idx val="1"/>
          <c:order val="1"/>
          <c:spPr>
            <a:solidFill>
              <a:srgbClr val="993366"/>
            </a:solidFill>
            <a:ln w="25400"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A-66DA-48F1-AE9E-F7BE8740983B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C-66DA-48F1-AE9E-F7BE8740983B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E-66DA-48F1-AE9E-F7BE8740983B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66DA-48F1-AE9E-F7BE8740983B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2-66DA-48F1-AE9E-F7BE8740983B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66DA-48F1-AE9E-F7BE8740983B}"/>
              </c:ext>
            </c:extLst>
          </c:dPt>
          <c:dPt>
            <c:idx val="7"/>
            <c:bubble3D val="0"/>
            <c:spPr>
              <a:solidFill>
                <a:srgbClr val="CCCC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6-66DA-48F1-AE9E-F7BE8740983B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66DA-48F1-AE9E-F7BE8740983B}"/>
              </c:ext>
            </c:extLst>
          </c:dPt>
          <c:dPt>
            <c:idx val="9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A-66DA-48F1-AE9E-F7BE8740983B}"/>
              </c:ext>
            </c:extLst>
          </c:dPt>
          <c:cat>
            <c:numRef>
              <c:f>'PAR1'!$B$6:$B$16</c:f>
              <c:numCache>
                <c:formatCode>General</c:formatCode>
                <c:ptCount val="11"/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'PAR1'!$E$6:$E$15</c:f>
              <c:numCache>
                <c:formatCode>0.00%</c:formatCode>
                <c:ptCount val="10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0.581094</c:v>
                </c:pt>
                <c:pt idx="7">
                  <c:v>0.01</c:v>
                </c:pt>
                <c:pt idx="8">
                  <c:v>0.10890599999999995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66DA-48F1-AE9E-F7BE8740983B}"/>
            </c:ext>
          </c:extLst>
        </c:ser>
        <c:ser>
          <c:idx val="2"/>
          <c:order val="2"/>
          <c:spPr>
            <a:noFill/>
            <a:ln w="25400">
              <a:noFill/>
            </a:ln>
          </c:spPr>
          <c:dLbls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'PAR1'!$B$6:$B$16</c:f>
              <c:numCache>
                <c:formatCode>General</c:formatCode>
                <c:ptCount val="11"/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'PAR1'!$G$6:$G$17</c:f>
              <c:numCache>
                <c:formatCode>0%</c:formatCode>
                <c:ptCount val="12"/>
                <c:pt idx="0">
                  <c:v>5.0000000000000001E-3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9.9999999999999992E-2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66DA-48F1-AE9E-F7BE87409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2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9525" cmpd="dbl">
      <a:solidFill>
        <a:schemeClr val="accent1"/>
      </a:solidFill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11" r="0.75000000000000411" t="1" header="0.492125984500002" footer="0.492125984500002"/>
    <c:pageSetup paperSize="9" orientation="landscape" horizontalDpi="0" verticalDpi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CA" sz="1600" b="0" i="0" u="none" strike="noStrike" kern="1200" baseline="0">
                <a:solidFill>
                  <a:srgbClr val="0E8C53"/>
                </a:solidFill>
                <a:latin typeface="Arial"/>
                <a:ea typeface="Arial"/>
                <a:cs typeface="Arial"/>
              </a:defRPr>
            </a:pPr>
            <a:r>
              <a:rPr lang="en-CA" sz="1600" b="0" i="0" u="none" strike="noStrike" kern="1200" baseline="0">
                <a:solidFill>
                  <a:srgbClr val="0E8C53"/>
                </a:solidFill>
                <a:latin typeface="Arial"/>
                <a:ea typeface="Arial"/>
                <a:cs typeface="Arial"/>
              </a:rPr>
              <a:t>PAR 90 days</a:t>
            </a:r>
          </a:p>
        </c:rich>
      </c:tx>
      <c:layout>
        <c:manualLayout>
          <c:xMode val="edge"/>
          <c:yMode val="edge"/>
          <c:x val="0.25015243902439022"/>
          <c:y val="0.602192172094800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7624365283672656E-2"/>
          <c:y val="3.5812768521781752E-2"/>
          <c:w val="0.95027816575833057"/>
          <c:h val="0.94766095165330455"/>
        </c:manualLayout>
      </c:layout>
      <c:doughnutChart>
        <c:varyColors val="1"/>
        <c:ser>
          <c:idx val="0"/>
          <c:order val="0"/>
          <c:spPr>
            <a:solidFill>
              <a:srgbClr val="9999FF"/>
            </a:solidFill>
            <a:ln w="25400">
              <a:noFill/>
            </a:ln>
          </c:spPr>
          <c:dPt>
            <c:idx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BC8F-4490-B39B-AD1C021932A9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BC8F-4490-B39B-AD1C021932A9}"/>
              </c:ext>
            </c:extLst>
          </c:dPt>
          <c:dPt>
            <c:idx val="2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BC8F-4490-B39B-AD1C021932A9}"/>
              </c:ext>
            </c:extLst>
          </c:dPt>
          <c:dPt>
            <c:idx val="3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BC8F-4490-B39B-AD1C021932A9}"/>
              </c:ext>
            </c:extLst>
          </c:dPt>
          <c:cat>
            <c:numRef>
              <c:f>'PAR90'!$B$6:$B$16</c:f>
              <c:numCache>
                <c:formatCode>General</c:formatCode>
                <c:ptCount val="11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'PAR90'!$D$6:$D$9</c:f>
              <c:numCache>
                <c:formatCode>0.00%</c:formatCode>
                <c:ptCount val="4"/>
                <c:pt idx="0">
                  <c:v>0.17117999999999997</c:v>
                </c:pt>
                <c:pt idx="1">
                  <c:v>0.01</c:v>
                </c:pt>
                <c:pt idx="2">
                  <c:v>0.81881999999999999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8F-4490-B39B-AD1C021932A9}"/>
            </c:ext>
          </c:extLst>
        </c:ser>
        <c:ser>
          <c:idx val="1"/>
          <c:order val="1"/>
          <c:spPr>
            <a:solidFill>
              <a:srgbClr val="993366"/>
            </a:solidFill>
            <a:ln w="25400"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A-BC8F-4490-B39B-AD1C021932A9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C-BC8F-4490-B39B-AD1C021932A9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E-BC8F-4490-B39B-AD1C021932A9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0-BC8F-4490-B39B-AD1C021932A9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2-BC8F-4490-B39B-AD1C021932A9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4-BC8F-4490-B39B-AD1C021932A9}"/>
              </c:ext>
            </c:extLst>
          </c:dPt>
          <c:dPt>
            <c:idx val="7"/>
            <c:bubble3D val="0"/>
            <c:spPr>
              <a:solidFill>
                <a:srgbClr val="CCCC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6-BC8F-4490-B39B-AD1C021932A9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BC8F-4490-B39B-AD1C021932A9}"/>
              </c:ext>
            </c:extLst>
          </c:dPt>
          <c:dPt>
            <c:idx val="9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A-BC8F-4490-B39B-AD1C021932A9}"/>
              </c:ext>
            </c:extLst>
          </c:dPt>
          <c:cat>
            <c:numRef>
              <c:f>'PAR90'!$B$6:$B$16</c:f>
              <c:numCache>
                <c:formatCode>General</c:formatCode>
                <c:ptCount val="11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'PAR90'!$E$6:$E$15</c:f>
              <c:numCache>
                <c:formatCode>0.00%</c:formatCode>
                <c:ptCount val="10"/>
                <c:pt idx="0">
                  <c:v>0.17117999999999997</c:v>
                </c:pt>
                <c:pt idx="1">
                  <c:v>0.01</c:v>
                </c:pt>
                <c:pt idx="2">
                  <c:v>-1.1799999999999866E-3</c:v>
                </c:pt>
                <c:pt idx="3">
                  <c:v>0.22</c:v>
                </c:pt>
                <c:pt idx="4">
                  <c:v>0</c:v>
                </c:pt>
                <c:pt idx="5">
                  <c:v>0</c:v>
                </c:pt>
                <c:pt idx="6">
                  <c:v>0.6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8F-4490-B39B-AD1C021932A9}"/>
            </c:ext>
          </c:extLst>
        </c:ser>
        <c:ser>
          <c:idx val="2"/>
          <c:order val="2"/>
          <c:spPr>
            <a:noFill/>
            <a:ln w="25400">
              <a:noFill/>
            </a:ln>
          </c:spPr>
          <c:dLbls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'PAR90'!$B$6:$B$16</c:f>
              <c:numCache>
                <c:formatCode>General</c:formatCode>
                <c:ptCount val="11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'PAR90'!$G$6:$G$17</c:f>
              <c:numCache>
                <c:formatCode>0%</c:formatCode>
                <c:ptCount val="12"/>
                <c:pt idx="0">
                  <c:v>5.0000000000000001E-3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9.9999999999999992E-2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8F-4490-B39B-AD1C02193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2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9525">
      <a:solidFill>
        <a:schemeClr val="accent1"/>
      </a:solidFill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11" r="0.75000000000000411" t="1" header="0.492125984500002" footer="0.492125984500002"/>
    <c:pageSetup paperSize="9" orientation="landscape" horizontalDpi="0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 sz="1600"/>
              <a:t>PAR 30 days</a:t>
            </a:r>
          </a:p>
        </c:rich>
      </c:tx>
      <c:layout>
        <c:manualLayout>
          <c:xMode val="edge"/>
          <c:yMode val="edge"/>
          <c:x val="0.25015243902439022"/>
          <c:y val="0.602192172094800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7624365283672656E-2"/>
          <c:y val="3.5812768521781752E-2"/>
          <c:w val="0.95027816575833057"/>
          <c:h val="0.94766095165330455"/>
        </c:manualLayout>
      </c:layout>
      <c:doughnutChart>
        <c:varyColors val="1"/>
        <c:ser>
          <c:idx val="0"/>
          <c:order val="0"/>
          <c:spPr>
            <a:solidFill>
              <a:srgbClr val="9999FF"/>
            </a:solidFill>
            <a:ln w="25400">
              <a:noFill/>
            </a:ln>
          </c:spPr>
          <c:dPt>
            <c:idx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158-4DD7-8A5D-8209C8DCD3C0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158-4DD7-8A5D-8209C8DCD3C0}"/>
              </c:ext>
            </c:extLst>
          </c:dPt>
          <c:dPt>
            <c:idx val="2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158-4DD7-8A5D-8209C8DCD3C0}"/>
              </c:ext>
            </c:extLst>
          </c:dPt>
          <c:dPt>
            <c:idx val="3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158-4DD7-8A5D-8209C8DCD3C0}"/>
              </c:ext>
            </c:extLst>
          </c:dPt>
          <c:cat>
            <c:numRef>
              <c:f>'PAR30'!$B$6:$B$16</c:f>
              <c:numCache>
                <c:formatCode>General</c:formatCode>
                <c:ptCount val="11"/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'PAR30'!$D$6:$D$9</c:f>
              <c:numCache>
                <c:formatCode>0.00%</c:formatCode>
                <c:ptCount val="4"/>
                <c:pt idx="0">
                  <c:v>0.32603799999999999</c:v>
                </c:pt>
                <c:pt idx="1">
                  <c:v>0.01</c:v>
                </c:pt>
                <c:pt idx="2">
                  <c:v>0.66396199999999994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158-4DD7-8A5D-8209C8DCD3C0}"/>
            </c:ext>
          </c:extLst>
        </c:ser>
        <c:ser>
          <c:idx val="1"/>
          <c:order val="1"/>
          <c:spPr>
            <a:solidFill>
              <a:srgbClr val="993366"/>
            </a:solidFill>
            <a:ln w="25400"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A-2158-4DD7-8A5D-8209C8DCD3C0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C-2158-4DD7-8A5D-8209C8DCD3C0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E-2158-4DD7-8A5D-8209C8DCD3C0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2158-4DD7-8A5D-8209C8DCD3C0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2-2158-4DD7-8A5D-8209C8DCD3C0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2158-4DD7-8A5D-8209C8DCD3C0}"/>
              </c:ext>
            </c:extLst>
          </c:dPt>
          <c:dPt>
            <c:idx val="7"/>
            <c:bubble3D val="0"/>
            <c:spPr>
              <a:solidFill>
                <a:srgbClr val="CCCC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6-2158-4DD7-8A5D-8209C8DCD3C0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2158-4DD7-8A5D-8209C8DCD3C0}"/>
              </c:ext>
            </c:extLst>
          </c:dPt>
          <c:dPt>
            <c:idx val="9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A-2158-4DD7-8A5D-8209C8DCD3C0}"/>
              </c:ext>
            </c:extLst>
          </c:dPt>
          <c:cat>
            <c:numRef>
              <c:f>'PAR30'!$B$6:$B$16</c:f>
              <c:numCache>
                <c:formatCode>General</c:formatCode>
                <c:ptCount val="11"/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'PAR30'!$E$6:$E$15</c:f>
              <c:numCache>
                <c:formatCode>0.00%</c:formatCode>
                <c:ptCount val="10"/>
                <c:pt idx="0">
                  <c:v>0.06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0.16603799999999999</c:v>
                </c:pt>
                <c:pt idx="7">
                  <c:v>0.01</c:v>
                </c:pt>
                <c:pt idx="8">
                  <c:v>0.66396200000000005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2158-4DD7-8A5D-8209C8DCD3C0}"/>
            </c:ext>
          </c:extLst>
        </c:ser>
        <c:ser>
          <c:idx val="2"/>
          <c:order val="2"/>
          <c:spPr>
            <a:noFill/>
            <a:ln w="25400">
              <a:noFill/>
            </a:ln>
          </c:spPr>
          <c:dLbls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'PAR30'!$B$6:$B$16</c:f>
              <c:numCache>
                <c:formatCode>General</c:formatCode>
                <c:ptCount val="11"/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'PAR30'!$G$6:$G$17</c:f>
              <c:numCache>
                <c:formatCode>0%</c:formatCode>
                <c:ptCount val="12"/>
                <c:pt idx="0">
                  <c:v>5.0000000000000001E-3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9.9999999999999992E-2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2158-4DD7-8A5D-8209C8DCD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2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11" r="0.75000000000000411" t="1" header="0.492125984500002" footer="0.492125984500002"/>
    <c:pageSetup paperSize="9" orientation="landscape" horizontalDpi="0" verticalDpi="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76895306859221"/>
          <c:y val="3.7037132722420964E-2"/>
          <c:w val="0.64620938628159574"/>
          <c:h val="0.94709239390189404"/>
        </c:manualLayout>
      </c:layout>
      <c:doughnutChart>
        <c:varyColors val="1"/>
        <c:ser>
          <c:idx val="5"/>
          <c:order val="0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66CC-4CCA-AE5F-C145D4D13AD0}"/>
              </c:ext>
            </c:extLst>
          </c:dPt>
          <c:dPt>
            <c:idx val="1"/>
            <c:bubble3D val="0"/>
            <c:spPr>
              <a:solidFill>
                <a:srgbClr val="FF808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66CC-4CCA-AE5F-C145D4D13AD0}"/>
              </c:ext>
            </c:extLst>
          </c:dPt>
          <c:dPt>
            <c:idx val="2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66CC-4CCA-AE5F-C145D4D13AD0}"/>
              </c:ext>
            </c:extLst>
          </c:dPt>
          <c:dPt>
            <c:idx val="3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66CC-4CCA-AE5F-C145D4D13AD0}"/>
              </c:ext>
            </c:extLst>
          </c:dPt>
          <c:cat>
            <c:numLit>
              <c:formatCode>General</c:formatCode>
              <c:ptCount val="11"/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numLit>
          </c:cat>
          <c:val>
            <c:numLit>
              <c:formatCode>General</c:formatCode>
              <c:ptCount val="4"/>
              <c:pt idx="0">
                <c:v>0.23500000000000001</c:v>
              </c:pt>
              <c:pt idx="1">
                <c:v>1.0000000000000005E-2</c:v>
              </c:pt>
              <c:pt idx="2">
                <c:v>0.75500000000000445</c:v>
              </c:pt>
              <c:pt idx="3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66CC-4CCA-AE5F-C145D4D13AD0}"/>
            </c:ext>
          </c:extLst>
        </c:ser>
        <c:ser>
          <c:idx val="4"/>
          <c:order val="1"/>
          <c:spPr>
            <a:solidFill>
              <a:srgbClr val="660066"/>
            </a:solidFill>
            <a:ln w="25400">
              <a:noFill/>
            </a:ln>
          </c:spPr>
          <c:dPt>
            <c:idx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66CC-4CCA-AE5F-C145D4D13AD0}"/>
              </c:ext>
            </c:extLst>
          </c:dPt>
          <c:dPt>
            <c:idx val="2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A-66CC-4CCA-AE5F-C145D4D13AD0}"/>
              </c:ext>
            </c:extLst>
          </c:dPt>
          <c:dPt>
            <c:idx val="3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C-66CC-4CCA-AE5F-C145D4D13AD0}"/>
              </c:ext>
            </c:extLst>
          </c:dPt>
          <c:cat>
            <c:numLit>
              <c:formatCode>General</c:formatCode>
              <c:ptCount val="11"/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numLit>
          </c:cat>
          <c:val>
            <c:numLit>
              <c:formatCode>General</c:formatCode>
              <c:ptCount val="4"/>
              <c:pt idx="0">
                <c:v>0.23500000000000001</c:v>
              </c:pt>
              <c:pt idx="1">
                <c:v>1.0000000000000005E-2</c:v>
              </c:pt>
              <c:pt idx="2">
                <c:v>0.75500000000000445</c:v>
              </c:pt>
              <c:pt idx="3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B-66CC-4CCA-AE5F-C145D4D13AD0}"/>
            </c:ext>
          </c:extLst>
        </c:ser>
        <c:ser>
          <c:idx val="0"/>
          <c:order val="2"/>
          <c:spPr>
            <a:solidFill>
              <a:srgbClr val="9999FF"/>
            </a:solidFill>
            <a:ln w="25400">
              <a:noFill/>
            </a:ln>
          </c:spPr>
          <c:dPt>
            <c:idx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D-66CC-4CCA-AE5F-C145D4D13AD0}"/>
              </c:ext>
            </c:extLst>
          </c:dPt>
          <c:dPt>
            <c:idx val="2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F-66CC-4CCA-AE5F-C145D4D13AD0}"/>
              </c:ext>
            </c:extLst>
          </c:dPt>
          <c:dPt>
            <c:idx val="3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1-66CC-4CCA-AE5F-C145D4D13AD0}"/>
              </c:ext>
            </c:extLst>
          </c:dPt>
          <c:cat>
            <c:numLit>
              <c:formatCode>General</c:formatCode>
              <c:ptCount val="11"/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numLit>
          </c:cat>
          <c:val>
            <c:numLit>
              <c:formatCode>General</c:formatCode>
              <c:ptCount val="4"/>
              <c:pt idx="0">
                <c:v>0.23500000000000001</c:v>
              </c:pt>
              <c:pt idx="1">
                <c:v>1.0000000000000005E-2</c:v>
              </c:pt>
              <c:pt idx="2">
                <c:v>0.75500000000000445</c:v>
              </c:pt>
              <c:pt idx="3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42-66CC-4CCA-AE5F-C145D4D13AD0}"/>
            </c:ext>
          </c:extLst>
        </c:ser>
        <c:ser>
          <c:idx val="1"/>
          <c:order val="3"/>
          <c:spPr>
            <a:solidFill>
              <a:srgbClr val="993366"/>
            </a:solidFill>
            <a:ln w="25400">
              <a:noFill/>
            </a:ln>
          </c:spPr>
          <c:dPt>
            <c:idx val="0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44-66CC-4CCA-AE5F-C145D4D13AD0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46-66CC-4CCA-AE5F-C145D4D13AD0}"/>
              </c:ext>
            </c:extLst>
          </c:dPt>
          <c:dPt>
            <c:idx val="3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48-66CC-4CCA-AE5F-C145D4D13AD0}"/>
              </c:ext>
            </c:extLst>
          </c:dPt>
          <c:dPt>
            <c:idx val="5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4A-66CC-4CCA-AE5F-C145D4D13AD0}"/>
              </c:ext>
            </c:extLst>
          </c:dPt>
          <c:dPt>
            <c:idx val="6"/>
            <c:bubble3D val="0"/>
            <c:spPr>
              <a:solidFill>
                <a:srgbClr val="00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4C-66CC-4CCA-AE5F-C145D4D13AD0}"/>
              </c:ext>
            </c:extLst>
          </c:dPt>
          <c:dPt>
            <c:idx val="8"/>
            <c:bubble3D val="0"/>
            <c:spPr>
              <a:solidFill>
                <a:srgbClr val="00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4E-66CC-4CCA-AE5F-C145D4D13AD0}"/>
              </c:ext>
            </c:extLst>
          </c:dPt>
          <c:dPt>
            <c:idx val="9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50-66CC-4CCA-AE5F-C145D4D13AD0}"/>
              </c:ext>
            </c:extLst>
          </c:dPt>
          <c:cat>
            <c:numLit>
              <c:formatCode>General</c:formatCode>
              <c:ptCount val="11"/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numLit>
          </c:cat>
          <c:val>
            <c:numLit>
              <c:formatCode>General</c:formatCode>
              <c:ptCount val="10"/>
              <c:pt idx="0">
                <c:v>0.23500000000000001</c:v>
              </c:pt>
              <c:pt idx="1">
                <c:v>1.0000000000000005E-2</c:v>
              </c:pt>
              <c:pt idx="2">
                <c:v>5.5000000000000014E-2</c:v>
              </c:pt>
              <c:pt idx="3">
                <c:v>0.4</c:v>
              </c:pt>
              <c:pt idx="4">
                <c:v>0</c:v>
              </c:pt>
              <c:pt idx="5">
                <c:v>0</c:v>
              </c:pt>
              <c:pt idx="6">
                <c:v>0.30000000000000032</c:v>
              </c:pt>
              <c:pt idx="7">
                <c:v>0</c:v>
              </c:pt>
              <c:pt idx="8">
                <c:v>0</c:v>
              </c:pt>
              <c:pt idx="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55-66CC-4CCA-AE5F-C145D4D13AD0}"/>
            </c:ext>
          </c:extLst>
        </c:ser>
        <c:ser>
          <c:idx val="2"/>
          <c:order val="4"/>
          <c:spPr>
            <a:solidFill>
              <a:srgbClr val="FFCC00"/>
            </a:solidFill>
            <a:ln w="25400">
              <a:noFill/>
            </a:ln>
          </c:spPr>
          <c:dPt>
            <c:idx val="0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57-66CC-4CCA-AE5F-C145D4D13AD0}"/>
              </c:ext>
            </c:extLst>
          </c:dPt>
          <c:dPt>
            <c:idx val="1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59-66CC-4CCA-AE5F-C145D4D13AD0}"/>
              </c:ext>
            </c:extLst>
          </c:dPt>
          <c:dPt>
            <c:idx val="2"/>
            <c:bubble3D val="0"/>
            <c:spPr>
              <a:solidFill>
                <a:srgbClr val="00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5B-66CC-4CCA-AE5F-C145D4D13AD0}"/>
              </c:ext>
            </c:extLst>
          </c:dPt>
          <c:dPt>
            <c:idx val="3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5D-66CC-4CCA-AE5F-C145D4D13AD0}"/>
              </c:ext>
            </c:extLst>
          </c:dPt>
          <c:cat>
            <c:numLit>
              <c:formatCode>General</c:formatCode>
              <c:ptCount val="11"/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numLit>
          </c:cat>
          <c:val>
            <c:numLit>
              <c:formatCode>General</c:formatCode>
              <c:ptCount val="4"/>
              <c:pt idx="0">
                <c:v>0.30000000000000032</c:v>
              </c:pt>
              <c:pt idx="1">
                <c:v>0.4</c:v>
              </c:pt>
              <c:pt idx="2">
                <c:v>0.30000000000000032</c:v>
              </c:pt>
              <c:pt idx="3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5E-66CC-4CCA-AE5F-C145D4D13AD0}"/>
            </c:ext>
          </c:extLst>
        </c:ser>
        <c:ser>
          <c:idx val="3"/>
          <c:order val="5"/>
          <c:spPr>
            <a:noFill/>
            <a:ln w="25400">
              <a:noFill/>
            </a:ln>
          </c:spP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Lit>
              <c:formatCode>General</c:formatCode>
              <c:ptCount val="12"/>
              <c:pt idx="0">
                <c:v>5.0000000000000114E-3</c:v>
              </c:pt>
              <c:pt idx="1">
                <c:v>1.0000000000000005E-2</c:v>
              </c:pt>
              <c:pt idx="2">
                <c:v>1.0000000000000005E-2</c:v>
              </c:pt>
              <c:pt idx="3">
                <c:v>1.0000000000000005E-2</c:v>
              </c:pt>
              <c:pt idx="4">
                <c:v>1.0000000000000005E-2</c:v>
              </c:pt>
              <c:pt idx="5">
                <c:v>1.0000000000000005E-2</c:v>
              </c:pt>
              <c:pt idx="6">
                <c:v>1.0000000000000005E-2</c:v>
              </c:pt>
              <c:pt idx="7">
                <c:v>1.0000000000000005E-2</c:v>
              </c:pt>
              <c:pt idx="8">
                <c:v>1.0000000000000005E-2</c:v>
              </c:pt>
              <c:pt idx="9">
                <c:v>1.0000000000000005E-2</c:v>
              </c:pt>
              <c:pt idx="10">
                <c:v>1.0000000000000005E-2</c:v>
              </c:pt>
              <c:pt idx="11">
                <c:v>0.10000000000000003</c:v>
              </c:pt>
            </c:numLit>
          </c:val>
          <c:extLst>
            <c:ext xmlns:c16="http://schemas.microsoft.com/office/drawing/2014/chart" uri="{C3380CC4-5D6E-409C-BE32-E72D297353CC}">
              <c16:uniqueId val="{0000005F-66CC-4CCA-AE5F-C145D4D13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11" r="0.75000000000000411" t="1" header="0.492125984500002" footer="0.4921259845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CA" sz="1600" b="0" i="0" u="none" strike="noStrike" kern="1200" baseline="0">
                <a:solidFill>
                  <a:srgbClr val="0E8C53"/>
                </a:solidFill>
                <a:latin typeface="Arial"/>
                <a:ea typeface="Arial"/>
                <a:cs typeface="Arial"/>
              </a:defRPr>
            </a:pPr>
            <a:r>
              <a:rPr lang="en-CA" sz="1600" b="0" i="0" u="none" strike="noStrike" kern="1200" baseline="0">
                <a:solidFill>
                  <a:srgbClr val="0E8C53"/>
                </a:solidFill>
                <a:latin typeface="Arial"/>
                <a:ea typeface="Arial"/>
                <a:cs typeface="Arial"/>
              </a:rPr>
              <a:t>PAR 90 days</a:t>
            </a:r>
          </a:p>
        </c:rich>
      </c:tx>
      <c:layout>
        <c:manualLayout>
          <c:xMode val="edge"/>
          <c:yMode val="edge"/>
          <c:x val="0.25015243902439022"/>
          <c:y val="0.602192172094800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7624365283672656E-2"/>
          <c:y val="3.5812768521781752E-2"/>
          <c:w val="0.95027816575833057"/>
          <c:h val="0.94766095165330455"/>
        </c:manualLayout>
      </c:layout>
      <c:doughnutChart>
        <c:varyColors val="1"/>
        <c:ser>
          <c:idx val="0"/>
          <c:order val="0"/>
          <c:spPr>
            <a:solidFill>
              <a:srgbClr val="9999FF"/>
            </a:solidFill>
            <a:ln w="25400">
              <a:noFill/>
            </a:ln>
          </c:spPr>
          <c:dPt>
            <c:idx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5A7-4EA4-A01E-AE8788048BD3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E5A7-4EA4-A01E-AE8788048BD3}"/>
              </c:ext>
            </c:extLst>
          </c:dPt>
          <c:dPt>
            <c:idx val="2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E5A7-4EA4-A01E-AE8788048BD3}"/>
              </c:ext>
            </c:extLst>
          </c:dPt>
          <c:dPt>
            <c:idx val="3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E5A7-4EA4-A01E-AE8788048BD3}"/>
              </c:ext>
            </c:extLst>
          </c:dPt>
          <c:cat>
            <c:numRef>
              <c:f>'PAR90'!$B$6:$B$16</c:f>
              <c:numCache>
                <c:formatCode>General</c:formatCode>
                <c:ptCount val="11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'PAR90'!$D$6:$D$9</c:f>
              <c:numCache>
                <c:formatCode>0.00%</c:formatCode>
                <c:ptCount val="4"/>
                <c:pt idx="0">
                  <c:v>0.17117999999999997</c:v>
                </c:pt>
                <c:pt idx="1">
                  <c:v>0.01</c:v>
                </c:pt>
                <c:pt idx="2">
                  <c:v>0.81881999999999999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A7-4EA4-A01E-AE8788048BD3}"/>
            </c:ext>
          </c:extLst>
        </c:ser>
        <c:ser>
          <c:idx val="1"/>
          <c:order val="1"/>
          <c:spPr>
            <a:solidFill>
              <a:srgbClr val="993366"/>
            </a:solidFill>
            <a:ln w="25400"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A-E5A7-4EA4-A01E-AE8788048BD3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C-E5A7-4EA4-A01E-AE8788048BD3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E-E5A7-4EA4-A01E-AE8788048BD3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0-E5A7-4EA4-A01E-AE8788048BD3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2-E5A7-4EA4-A01E-AE8788048BD3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4-E5A7-4EA4-A01E-AE8788048BD3}"/>
              </c:ext>
            </c:extLst>
          </c:dPt>
          <c:dPt>
            <c:idx val="7"/>
            <c:bubble3D val="0"/>
            <c:spPr>
              <a:solidFill>
                <a:srgbClr val="CCCC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6-E5A7-4EA4-A01E-AE8788048BD3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5A7-4EA4-A01E-AE8788048BD3}"/>
              </c:ext>
            </c:extLst>
          </c:dPt>
          <c:dPt>
            <c:idx val="9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A-E5A7-4EA4-A01E-AE8788048BD3}"/>
              </c:ext>
            </c:extLst>
          </c:dPt>
          <c:cat>
            <c:numRef>
              <c:f>'PAR90'!$B$6:$B$16</c:f>
              <c:numCache>
                <c:formatCode>General</c:formatCode>
                <c:ptCount val="11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'PAR90'!$E$6:$E$15</c:f>
              <c:numCache>
                <c:formatCode>0.00%</c:formatCode>
                <c:ptCount val="10"/>
                <c:pt idx="0">
                  <c:v>0.17117999999999997</c:v>
                </c:pt>
                <c:pt idx="1">
                  <c:v>0.01</c:v>
                </c:pt>
                <c:pt idx="2">
                  <c:v>-1.1799999999999866E-3</c:v>
                </c:pt>
                <c:pt idx="3">
                  <c:v>0.22</c:v>
                </c:pt>
                <c:pt idx="4">
                  <c:v>0</c:v>
                </c:pt>
                <c:pt idx="5">
                  <c:v>0</c:v>
                </c:pt>
                <c:pt idx="6">
                  <c:v>0.6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5A7-4EA4-A01E-AE8788048BD3}"/>
            </c:ext>
          </c:extLst>
        </c:ser>
        <c:ser>
          <c:idx val="2"/>
          <c:order val="2"/>
          <c:spPr>
            <a:noFill/>
            <a:ln w="25400">
              <a:noFill/>
            </a:ln>
          </c:spPr>
          <c:dLbls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'PAR90'!$B$6:$B$16</c:f>
              <c:numCache>
                <c:formatCode>General</c:formatCode>
                <c:ptCount val="11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'PAR90'!$G$6:$G$17</c:f>
              <c:numCache>
                <c:formatCode>0%</c:formatCode>
                <c:ptCount val="12"/>
                <c:pt idx="0">
                  <c:v>5.0000000000000001E-3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9.9999999999999992E-2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5A7-4EA4-A01E-AE8788048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2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9525">
      <a:solidFill>
        <a:schemeClr val="accent1"/>
      </a:solidFill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11" r="0.75000000000000411" t="1" header="0.492125984500002" footer="0.492125984500002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76895306859221"/>
          <c:y val="3.7037132722420964E-2"/>
          <c:w val="0.64620938628159574"/>
          <c:h val="0.94709239390189404"/>
        </c:manualLayout>
      </c:layout>
      <c:doughnutChart>
        <c:varyColors val="1"/>
        <c:ser>
          <c:idx val="5"/>
          <c:order val="0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989-40F9-AA09-00F2C8935701}"/>
              </c:ext>
            </c:extLst>
          </c:dPt>
          <c:dPt>
            <c:idx val="1"/>
            <c:bubble3D val="0"/>
            <c:spPr>
              <a:solidFill>
                <a:srgbClr val="FF808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989-40F9-AA09-00F2C8935701}"/>
              </c:ext>
            </c:extLst>
          </c:dPt>
          <c:dPt>
            <c:idx val="2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989-40F9-AA09-00F2C8935701}"/>
              </c:ext>
            </c:extLst>
          </c:dPt>
          <c:dPt>
            <c:idx val="3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989-40F9-AA09-00F2C8935701}"/>
              </c:ext>
            </c:extLst>
          </c:dPt>
          <c:cat>
            <c:numLit>
              <c:formatCode>General</c:formatCode>
              <c:ptCount val="11"/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numLit>
          </c:cat>
          <c:val>
            <c:numLit>
              <c:formatCode>General</c:formatCode>
              <c:ptCount val="4"/>
              <c:pt idx="0">
                <c:v>0.23500000000000001</c:v>
              </c:pt>
              <c:pt idx="1">
                <c:v>1.0000000000000005E-2</c:v>
              </c:pt>
              <c:pt idx="2">
                <c:v>0.75500000000000445</c:v>
              </c:pt>
              <c:pt idx="3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8-2989-40F9-AA09-00F2C8935701}"/>
            </c:ext>
          </c:extLst>
        </c:ser>
        <c:ser>
          <c:idx val="4"/>
          <c:order val="1"/>
          <c:spPr>
            <a:solidFill>
              <a:srgbClr val="660066"/>
            </a:solidFill>
            <a:ln w="25400">
              <a:noFill/>
            </a:ln>
          </c:spPr>
          <c:dPt>
            <c:idx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A-2989-40F9-AA09-00F2C8935701}"/>
              </c:ext>
            </c:extLst>
          </c:dPt>
          <c:dPt>
            <c:idx val="2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C-2989-40F9-AA09-00F2C8935701}"/>
              </c:ext>
            </c:extLst>
          </c:dPt>
          <c:dPt>
            <c:idx val="3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E-2989-40F9-AA09-00F2C8935701}"/>
              </c:ext>
            </c:extLst>
          </c:dPt>
          <c:cat>
            <c:numLit>
              <c:formatCode>General</c:formatCode>
              <c:ptCount val="11"/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numLit>
          </c:cat>
          <c:val>
            <c:numLit>
              <c:formatCode>General</c:formatCode>
              <c:ptCount val="4"/>
              <c:pt idx="0">
                <c:v>0.23500000000000001</c:v>
              </c:pt>
              <c:pt idx="1">
                <c:v>1.0000000000000005E-2</c:v>
              </c:pt>
              <c:pt idx="2">
                <c:v>0.75500000000000445</c:v>
              </c:pt>
              <c:pt idx="3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F-2989-40F9-AA09-00F2C8935701}"/>
            </c:ext>
          </c:extLst>
        </c:ser>
        <c:ser>
          <c:idx val="0"/>
          <c:order val="2"/>
          <c:spPr>
            <a:solidFill>
              <a:srgbClr val="9999FF"/>
            </a:solidFill>
            <a:ln w="25400">
              <a:noFill/>
            </a:ln>
          </c:spPr>
          <c:dPt>
            <c:idx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1-2989-40F9-AA09-00F2C8935701}"/>
              </c:ext>
            </c:extLst>
          </c:dPt>
          <c:dPt>
            <c:idx val="2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3-2989-40F9-AA09-00F2C8935701}"/>
              </c:ext>
            </c:extLst>
          </c:dPt>
          <c:dPt>
            <c:idx val="3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5-2989-40F9-AA09-00F2C8935701}"/>
              </c:ext>
            </c:extLst>
          </c:dPt>
          <c:cat>
            <c:numLit>
              <c:formatCode>General</c:formatCode>
              <c:ptCount val="11"/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numLit>
          </c:cat>
          <c:val>
            <c:numLit>
              <c:formatCode>General</c:formatCode>
              <c:ptCount val="4"/>
              <c:pt idx="0">
                <c:v>0.23500000000000001</c:v>
              </c:pt>
              <c:pt idx="1">
                <c:v>1.0000000000000005E-2</c:v>
              </c:pt>
              <c:pt idx="2">
                <c:v>0.75500000000000445</c:v>
              </c:pt>
              <c:pt idx="3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2989-40F9-AA09-00F2C8935701}"/>
            </c:ext>
          </c:extLst>
        </c:ser>
        <c:ser>
          <c:idx val="1"/>
          <c:order val="3"/>
          <c:spPr>
            <a:solidFill>
              <a:srgbClr val="993366"/>
            </a:solidFill>
            <a:ln w="25400">
              <a:noFill/>
            </a:ln>
          </c:spPr>
          <c:dPt>
            <c:idx val="0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2989-40F9-AA09-00F2C893570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A-2989-40F9-AA09-00F2C8935701}"/>
              </c:ext>
            </c:extLst>
          </c:dPt>
          <c:dPt>
            <c:idx val="3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C-2989-40F9-AA09-00F2C8935701}"/>
              </c:ext>
            </c:extLst>
          </c:dPt>
          <c:dPt>
            <c:idx val="5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E-2989-40F9-AA09-00F2C8935701}"/>
              </c:ext>
            </c:extLst>
          </c:dPt>
          <c:dPt>
            <c:idx val="6"/>
            <c:bubble3D val="0"/>
            <c:spPr>
              <a:solidFill>
                <a:srgbClr val="00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2989-40F9-AA09-00F2C8935701}"/>
              </c:ext>
            </c:extLst>
          </c:dPt>
          <c:dPt>
            <c:idx val="8"/>
            <c:bubble3D val="0"/>
            <c:spPr>
              <a:solidFill>
                <a:srgbClr val="00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2-2989-40F9-AA09-00F2C8935701}"/>
              </c:ext>
            </c:extLst>
          </c:dPt>
          <c:dPt>
            <c:idx val="9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2989-40F9-AA09-00F2C8935701}"/>
              </c:ext>
            </c:extLst>
          </c:dPt>
          <c:cat>
            <c:numLit>
              <c:formatCode>General</c:formatCode>
              <c:ptCount val="11"/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numLit>
          </c:cat>
          <c:val>
            <c:numLit>
              <c:formatCode>General</c:formatCode>
              <c:ptCount val="10"/>
              <c:pt idx="0">
                <c:v>0.23500000000000001</c:v>
              </c:pt>
              <c:pt idx="1">
                <c:v>1.0000000000000005E-2</c:v>
              </c:pt>
              <c:pt idx="2">
                <c:v>5.5000000000000014E-2</c:v>
              </c:pt>
              <c:pt idx="3">
                <c:v>0.4</c:v>
              </c:pt>
              <c:pt idx="4">
                <c:v>0</c:v>
              </c:pt>
              <c:pt idx="5">
                <c:v>0</c:v>
              </c:pt>
              <c:pt idx="6">
                <c:v>0.30000000000000032</c:v>
              </c:pt>
              <c:pt idx="7">
                <c:v>0</c:v>
              </c:pt>
              <c:pt idx="8">
                <c:v>0</c:v>
              </c:pt>
              <c:pt idx="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5-2989-40F9-AA09-00F2C8935701}"/>
            </c:ext>
          </c:extLst>
        </c:ser>
        <c:ser>
          <c:idx val="2"/>
          <c:order val="4"/>
          <c:spPr>
            <a:solidFill>
              <a:srgbClr val="FFCC00"/>
            </a:solidFill>
            <a:ln w="25400">
              <a:noFill/>
            </a:ln>
          </c:spPr>
          <c:dPt>
            <c:idx val="0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7-2989-40F9-AA09-00F2C8935701}"/>
              </c:ext>
            </c:extLst>
          </c:dPt>
          <c:dPt>
            <c:idx val="1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9-2989-40F9-AA09-00F2C8935701}"/>
              </c:ext>
            </c:extLst>
          </c:dPt>
          <c:dPt>
            <c:idx val="2"/>
            <c:bubble3D val="0"/>
            <c:spPr>
              <a:solidFill>
                <a:srgbClr val="00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B-2989-40F9-AA09-00F2C8935701}"/>
              </c:ext>
            </c:extLst>
          </c:dPt>
          <c:dPt>
            <c:idx val="3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D-2989-40F9-AA09-00F2C8935701}"/>
              </c:ext>
            </c:extLst>
          </c:dPt>
          <c:cat>
            <c:numLit>
              <c:formatCode>General</c:formatCode>
              <c:ptCount val="11"/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numLit>
          </c:cat>
          <c:val>
            <c:numLit>
              <c:formatCode>General</c:formatCode>
              <c:ptCount val="4"/>
              <c:pt idx="0">
                <c:v>0.30000000000000032</c:v>
              </c:pt>
              <c:pt idx="1">
                <c:v>0.4</c:v>
              </c:pt>
              <c:pt idx="2">
                <c:v>0.30000000000000032</c:v>
              </c:pt>
              <c:pt idx="3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E-2989-40F9-AA09-00F2C8935701}"/>
            </c:ext>
          </c:extLst>
        </c:ser>
        <c:ser>
          <c:idx val="3"/>
          <c:order val="5"/>
          <c:spPr>
            <a:noFill/>
            <a:ln w="25400">
              <a:noFill/>
            </a:ln>
          </c:spP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Lit>
              <c:formatCode>General</c:formatCode>
              <c:ptCount val="12"/>
              <c:pt idx="0">
                <c:v>5.0000000000000114E-3</c:v>
              </c:pt>
              <c:pt idx="1">
                <c:v>1.0000000000000005E-2</c:v>
              </c:pt>
              <c:pt idx="2">
                <c:v>1.0000000000000005E-2</c:v>
              </c:pt>
              <c:pt idx="3">
                <c:v>1.0000000000000005E-2</c:v>
              </c:pt>
              <c:pt idx="4">
                <c:v>1.0000000000000005E-2</c:v>
              </c:pt>
              <c:pt idx="5">
                <c:v>1.0000000000000005E-2</c:v>
              </c:pt>
              <c:pt idx="6">
                <c:v>1.0000000000000005E-2</c:v>
              </c:pt>
              <c:pt idx="7">
                <c:v>1.0000000000000005E-2</c:v>
              </c:pt>
              <c:pt idx="8">
                <c:v>1.0000000000000005E-2</c:v>
              </c:pt>
              <c:pt idx="9">
                <c:v>1.0000000000000005E-2</c:v>
              </c:pt>
              <c:pt idx="10">
                <c:v>1.0000000000000005E-2</c:v>
              </c:pt>
              <c:pt idx="11">
                <c:v>0.10000000000000003</c:v>
              </c:pt>
            </c:numLit>
          </c:val>
          <c:extLst>
            <c:ext xmlns:c16="http://schemas.microsoft.com/office/drawing/2014/chart" uri="{C3380CC4-5D6E-409C-BE32-E72D297353CC}">
              <c16:uniqueId val="{0000002F-2989-40F9-AA09-00F2C8935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11" r="0.75000000000000411" t="1" header="0.492125984500002" footer="0.4921259845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624365283672656E-2"/>
          <c:y val="3.5812768521781752E-2"/>
          <c:w val="0.95027816575833057"/>
          <c:h val="0.94766095165330455"/>
        </c:manualLayout>
      </c:layout>
      <c:doughnutChart>
        <c:varyColors val="1"/>
        <c:ser>
          <c:idx val="0"/>
          <c:order val="0"/>
          <c:spPr>
            <a:solidFill>
              <a:srgbClr val="9999FF"/>
            </a:solidFill>
            <a:ln w="25400">
              <a:noFill/>
            </a:ln>
          </c:spPr>
          <c:dPt>
            <c:idx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777-4663-839E-C3EE8928B8D8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E777-4663-839E-C3EE8928B8D8}"/>
              </c:ext>
            </c:extLst>
          </c:dPt>
          <c:dPt>
            <c:idx val="2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E777-4663-839E-C3EE8928B8D8}"/>
              </c:ext>
            </c:extLst>
          </c:dPt>
          <c:dPt>
            <c:idx val="3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E777-4663-839E-C3EE8928B8D8}"/>
              </c:ext>
            </c:extLst>
          </c:dPt>
          <c:cat>
            <c:numRef>
              <c:f>'PAR1'!$B$6:$B$16</c:f>
              <c:numCache>
                <c:formatCode>General</c:formatCode>
                <c:ptCount val="11"/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'PAR1'!$D$6:$D$9</c:f>
              <c:numCache>
                <c:formatCode>0.00%</c:formatCode>
                <c:ptCount val="4"/>
                <c:pt idx="0">
                  <c:v>0.88109400000000004</c:v>
                </c:pt>
                <c:pt idx="1">
                  <c:v>0.01</c:v>
                </c:pt>
                <c:pt idx="2">
                  <c:v>0.10890599999999995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777-4663-839E-C3EE8928B8D8}"/>
            </c:ext>
          </c:extLst>
        </c:ser>
        <c:ser>
          <c:idx val="1"/>
          <c:order val="1"/>
          <c:spPr>
            <a:solidFill>
              <a:srgbClr val="993366"/>
            </a:solidFill>
            <a:ln w="25400"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A-E777-4663-839E-C3EE8928B8D8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C-E777-4663-839E-C3EE8928B8D8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E-E777-4663-839E-C3EE8928B8D8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E777-4663-839E-C3EE8928B8D8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2-E777-4663-839E-C3EE8928B8D8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E777-4663-839E-C3EE8928B8D8}"/>
              </c:ext>
            </c:extLst>
          </c:dPt>
          <c:dPt>
            <c:idx val="7"/>
            <c:bubble3D val="0"/>
            <c:spPr>
              <a:solidFill>
                <a:srgbClr val="CCCC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6-E777-4663-839E-C3EE8928B8D8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E777-4663-839E-C3EE8928B8D8}"/>
              </c:ext>
            </c:extLst>
          </c:dPt>
          <c:dPt>
            <c:idx val="9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A-E777-4663-839E-C3EE8928B8D8}"/>
              </c:ext>
            </c:extLst>
          </c:dPt>
          <c:cat>
            <c:numRef>
              <c:f>'PAR1'!$B$6:$B$16</c:f>
              <c:numCache>
                <c:formatCode>General</c:formatCode>
                <c:ptCount val="11"/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'PAR1'!$E$6:$E$15</c:f>
              <c:numCache>
                <c:formatCode>0.00%</c:formatCode>
                <c:ptCount val="10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0.581094</c:v>
                </c:pt>
                <c:pt idx="7">
                  <c:v>0.01</c:v>
                </c:pt>
                <c:pt idx="8">
                  <c:v>0.10890599999999995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E777-4663-839E-C3EE8928B8D8}"/>
            </c:ext>
          </c:extLst>
        </c:ser>
        <c:ser>
          <c:idx val="2"/>
          <c:order val="2"/>
          <c:spPr>
            <a:noFill/>
            <a:ln w="25400">
              <a:noFill/>
            </a:ln>
          </c:spPr>
          <c:dLbls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'PAR1'!$B$6:$B$16</c:f>
              <c:numCache>
                <c:formatCode>General</c:formatCode>
                <c:ptCount val="11"/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'PAR1'!$G$6:$G$17</c:f>
              <c:numCache>
                <c:formatCode>0%</c:formatCode>
                <c:ptCount val="12"/>
                <c:pt idx="0">
                  <c:v>5.0000000000000001E-3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9.9999999999999992E-2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E777-4663-839E-C3EE8928B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2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11" r="0.75000000000000411" t="1" header="0.492125984500002" footer="0.492125984500002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76895306859221"/>
          <c:y val="3.7037132722420964E-2"/>
          <c:w val="0.64620938628159574"/>
          <c:h val="0.94709239390189404"/>
        </c:manualLayout>
      </c:layout>
      <c:doughnutChart>
        <c:varyColors val="1"/>
        <c:ser>
          <c:idx val="5"/>
          <c:order val="0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BC09-4BCE-9AEA-4A7E5E4D1AF6}"/>
              </c:ext>
            </c:extLst>
          </c:dPt>
          <c:dPt>
            <c:idx val="1"/>
            <c:bubble3D val="0"/>
            <c:spPr>
              <a:solidFill>
                <a:srgbClr val="FF808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BC09-4BCE-9AEA-4A7E5E4D1AF6}"/>
              </c:ext>
            </c:extLst>
          </c:dPt>
          <c:dPt>
            <c:idx val="2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BC09-4BCE-9AEA-4A7E5E4D1AF6}"/>
              </c:ext>
            </c:extLst>
          </c:dPt>
          <c:dPt>
            <c:idx val="3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BC09-4BCE-9AEA-4A7E5E4D1AF6}"/>
              </c:ext>
            </c:extLst>
          </c:dPt>
          <c:cat>
            <c:numLit>
              <c:formatCode>General</c:formatCode>
              <c:ptCount val="11"/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numLit>
          </c:cat>
          <c:val>
            <c:numLit>
              <c:formatCode>General</c:formatCode>
              <c:ptCount val="4"/>
              <c:pt idx="0">
                <c:v>0.23500000000000001</c:v>
              </c:pt>
              <c:pt idx="1">
                <c:v>1.0000000000000005E-2</c:v>
              </c:pt>
              <c:pt idx="2">
                <c:v>0.75500000000000445</c:v>
              </c:pt>
              <c:pt idx="3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BC09-4BCE-9AEA-4A7E5E4D1AF6}"/>
            </c:ext>
          </c:extLst>
        </c:ser>
        <c:ser>
          <c:idx val="4"/>
          <c:order val="1"/>
          <c:spPr>
            <a:solidFill>
              <a:srgbClr val="660066"/>
            </a:solidFill>
            <a:ln w="25400">
              <a:noFill/>
            </a:ln>
          </c:spPr>
          <c:dPt>
            <c:idx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BC09-4BCE-9AEA-4A7E5E4D1AF6}"/>
              </c:ext>
            </c:extLst>
          </c:dPt>
          <c:dPt>
            <c:idx val="2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A-BC09-4BCE-9AEA-4A7E5E4D1AF6}"/>
              </c:ext>
            </c:extLst>
          </c:dPt>
          <c:dPt>
            <c:idx val="3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C-BC09-4BCE-9AEA-4A7E5E4D1AF6}"/>
              </c:ext>
            </c:extLst>
          </c:dPt>
          <c:cat>
            <c:numLit>
              <c:formatCode>General</c:formatCode>
              <c:ptCount val="11"/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numLit>
          </c:cat>
          <c:val>
            <c:numLit>
              <c:formatCode>General</c:formatCode>
              <c:ptCount val="4"/>
              <c:pt idx="0">
                <c:v>0.23500000000000001</c:v>
              </c:pt>
              <c:pt idx="1">
                <c:v>1.0000000000000005E-2</c:v>
              </c:pt>
              <c:pt idx="2">
                <c:v>0.75500000000000445</c:v>
              </c:pt>
              <c:pt idx="3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B-BC09-4BCE-9AEA-4A7E5E4D1AF6}"/>
            </c:ext>
          </c:extLst>
        </c:ser>
        <c:ser>
          <c:idx val="0"/>
          <c:order val="2"/>
          <c:spPr>
            <a:solidFill>
              <a:srgbClr val="9999FF"/>
            </a:solidFill>
            <a:ln w="25400">
              <a:noFill/>
            </a:ln>
          </c:spPr>
          <c:dPt>
            <c:idx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D-BC09-4BCE-9AEA-4A7E5E4D1AF6}"/>
              </c:ext>
            </c:extLst>
          </c:dPt>
          <c:dPt>
            <c:idx val="2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F-BC09-4BCE-9AEA-4A7E5E4D1AF6}"/>
              </c:ext>
            </c:extLst>
          </c:dPt>
          <c:dPt>
            <c:idx val="3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1-BC09-4BCE-9AEA-4A7E5E4D1AF6}"/>
              </c:ext>
            </c:extLst>
          </c:dPt>
          <c:cat>
            <c:numLit>
              <c:formatCode>General</c:formatCode>
              <c:ptCount val="11"/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numLit>
          </c:cat>
          <c:val>
            <c:numLit>
              <c:formatCode>General</c:formatCode>
              <c:ptCount val="4"/>
              <c:pt idx="0">
                <c:v>0.23500000000000001</c:v>
              </c:pt>
              <c:pt idx="1">
                <c:v>1.0000000000000005E-2</c:v>
              </c:pt>
              <c:pt idx="2">
                <c:v>0.75500000000000445</c:v>
              </c:pt>
              <c:pt idx="3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42-BC09-4BCE-9AEA-4A7E5E4D1AF6}"/>
            </c:ext>
          </c:extLst>
        </c:ser>
        <c:ser>
          <c:idx val="1"/>
          <c:order val="3"/>
          <c:spPr>
            <a:solidFill>
              <a:srgbClr val="993366"/>
            </a:solidFill>
            <a:ln w="25400">
              <a:noFill/>
            </a:ln>
          </c:spPr>
          <c:dPt>
            <c:idx val="0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44-BC09-4BCE-9AEA-4A7E5E4D1AF6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46-BC09-4BCE-9AEA-4A7E5E4D1AF6}"/>
              </c:ext>
            </c:extLst>
          </c:dPt>
          <c:dPt>
            <c:idx val="3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48-BC09-4BCE-9AEA-4A7E5E4D1AF6}"/>
              </c:ext>
            </c:extLst>
          </c:dPt>
          <c:dPt>
            <c:idx val="5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4A-BC09-4BCE-9AEA-4A7E5E4D1AF6}"/>
              </c:ext>
            </c:extLst>
          </c:dPt>
          <c:dPt>
            <c:idx val="6"/>
            <c:bubble3D val="0"/>
            <c:spPr>
              <a:solidFill>
                <a:srgbClr val="00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4C-BC09-4BCE-9AEA-4A7E5E4D1AF6}"/>
              </c:ext>
            </c:extLst>
          </c:dPt>
          <c:dPt>
            <c:idx val="8"/>
            <c:bubble3D val="0"/>
            <c:spPr>
              <a:solidFill>
                <a:srgbClr val="00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4E-BC09-4BCE-9AEA-4A7E5E4D1AF6}"/>
              </c:ext>
            </c:extLst>
          </c:dPt>
          <c:dPt>
            <c:idx val="9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50-BC09-4BCE-9AEA-4A7E5E4D1AF6}"/>
              </c:ext>
            </c:extLst>
          </c:dPt>
          <c:cat>
            <c:numLit>
              <c:formatCode>General</c:formatCode>
              <c:ptCount val="11"/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numLit>
          </c:cat>
          <c:val>
            <c:numLit>
              <c:formatCode>General</c:formatCode>
              <c:ptCount val="10"/>
              <c:pt idx="0">
                <c:v>0.23500000000000001</c:v>
              </c:pt>
              <c:pt idx="1">
                <c:v>1.0000000000000005E-2</c:v>
              </c:pt>
              <c:pt idx="2">
                <c:v>5.5000000000000014E-2</c:v>
              </c:pt>
              <c:pt idx="3">
                <c:v>0.4</c:v>
              </c:pt>
              <c:pt idx="4">
                <c:v>0</c:v>
              </c:pt>
              <c:pt idx="5">
                <c:v>0</c:v>
              </c:pt>
              <c:pt idx="6">
                <c:v>0.30000000000000032</c:v>
              </c:pt>
              <c:pt idx="7">
                <c:v>0</c:v>
              </c:pt>
              <c:pt idx="8">
                <c:v>0</c:v>
              </c:pt>
              <c:pt idx="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55-BC09-4BCE-9AEA-4A7E5E4D1AF6}"/>
            </c:ext>
          </c:extLst>
        </c:ser>
        <c:ser>
          <c:idx val="2"/>
          <c:order val="4"/>
          <c:spPr>
            <a:solidFill>
              <a:srgbClr val="FFCC00"/>
            </a:solidFill>
            <a:ln w="25400">
              <a:noFill/>
            </a:ln>
          </c:spPr>
          <c:dPt>
            <c:idx val="0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57-BC09-4BCE-9AEA-4A7E5E4D1AF6}"/>
              </c:ext>
            </c:extLst>
          </c:dPt>
          <c:dPt>
            <c:idx val="1"/>
            <c:bubble3D val="0"/>
            <c:spPr>
              <a:solidFill>
                <a:srgbClr val="FF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59-BC09-4BCE-9AEA-4A7E5E4D1AF6}"/>
              </c:ext>
            </c:extLst>
          </c:dPt>
          <c:dPt>
            <c:idx val="2"/>
            <c:bubble3D val="0"/>
            <c:spPr>
              <a:solidFill>
                <a:srgbClr val="00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5B-BC09-4BCE-9AEA-4A7E5E4D1AF6}"/>
              </c:ext>
            </c:extLst>
          </c:dPt>
          <c:dPt>
            <c:idx val="3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5D-BC09-4BCE-9AEA-4A7E5E4D1AF6}"/>
              </c:ext>
            </c:extLst>
          </c:dPt>
          <c:cat>
            <c:numLit>
              <c:formatCode>General</c:formatCode>
              <c:ptCount val="11"/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numLit>
          </c:cat>
          <c:val>
            <c:numLit>
              <c:formatCode>General</c:formatCode>
              <c:ptCount val="4"/>
              <c:pt idx="0">
                <c:v>0.30000000000000032</c:v>
              </c:pt>
              <c:pt idx="1">
                <c:v>0.4</c:v>
              </c:pt>
              <c:pt idx="2">
                <c:v>0.30000000000000032</c:v>
              </c:pt>
              <c:pt idx="3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5E-BC09-4BCE-9AEA-4A7E5E4D1AF6}"/>
            </c:ext>
          </c:extLst>
        </c:ser>
        <c:ser>
          <c:idx val="3"/>
          <c:order val="5"/>
          <c:spPr>
            <a:noFill/>
            <a:ln w="25400">
              <a:noFill/>
            </a:ln>
          </c:spP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Lit>
              <c:formatCode>General</c:formatCode>
              <c:ptCount val="12"/>
              <c:pt idx="0">
                <c:v>5.0000000000000114E-3</c:v>
              </c:pt>
              <c:pt idx="1">
                <c:v>1.0000000000000005E-2</c:v>
              </c:pt>
              <c:pt idx="2">
                <c:v>1.0000000000000005E-2</c:v>
              </c:pt>
              <c:pt idx="3">
                <c:v>1.0000000000000005E-2</c:v>
              </c:pt>
              <c:pt idx="4">
                <c:v>1.0000000000000005E-2</c:v>
              </c:pt>
              <c:pt idx="5">
                <c:v>1.0000000000000005E-2</c:v>
              </c:pt>
              <c:pt idx="6">
                <c:v>1.0000000000000005E-2</c:v>
              </c:pt>
              <c:pt idx="7">
                <c:v>1.0000000000000005E-2</c:v>
              </c:pt>
              <c:pt idx="8">
                <c:v>1.0000000000000005E-2</c:v>
              </c:pt>
              <c:pt idx="9">
                <c:v>1.0000000000000005E-2</c:v>
              </c:pt>
              <c:pt idx="10">
                <c:v>1.0000000000000005E-2</c:v>
              </c:pt>
              <c:pt idx="11">
                <c:v>0.10000000000000003</c:v>
              </c:pt>
            </c:numLit>
          </c:val>
          <c:extLst>
            <c:ext xmlns:c16="http://schemas.microsoft.com/office/drawing/2014/chart" uri="{C3380CC4-5D6E-409C-BE32-E72D297353CC}">
              <c16:uniqueId val="{0000005F-BC09-4BCE-9AEA-4A7E5E4D1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11" r="0.75000000000000411" t="1" header="0.492125984500002" footer="0.4921259845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16" fmlaLink="#REF!" horiz="1" max="100" page="10" val="0"/>
</file>

<file path=xl/ctrlProps/ctrlProp3.xml><?xml version="1.0" encoding="utf-8"?>
<formControlPr xmlns="http://schemas.microsoft.com/office/spreadsheetml/2009/9/main" objectType="Scroll" dx="16" fmlaLink="$F$2" horiz="1" max="100" page="10" val="47"/>
</file>

<file path=xl/ctrlProps/ctrlProp4.xml><?xml version="1.0" encoding="utf-8"?>
<formControlPr xmlns="http://schemas.microsoft.com/office/spreadsheetml/2009/9/main" objectType="Spin" dx="16" fmlaLink="$F$2" max="100" page="10" val="47"/>
</file>

<file path=xl/ctrlProps/ctrlProp5.xml><?xml version="1.0" encoding="utf-8"?>
<formControlPr xmlns="http://schemas.microsoft.com/office/spreadsheetml/2009/9/main" objectType="Scroll" dx="16" fmlaLink="#REF!" horiz="1" max="100" page="10" val="0"/>
</file>

<file path=xl/ctrlProps/ctrlProp6.xml><?xml version="1.0" encoding="utf-8"?>
<formControlPr xmlns="http://schemas.microsoft.com/office/spreadsheetml/2009/9/main" objectType="Scroll" dx="16" fmlaLink="$F$2" horiz="1" max="100" page="10" val="4"/>
</file>

<file path=xl/ctrlProps/ctrlProp7.xml><?xml version="1.0" encoding="utf-8"?>
<formControlPr xmlns="http://schemas.microsoft.com/office/spreadsheetml/2009/9/main" objectType="Spin" dx="16" fmlaLink="$F$2" max="100" page="10" val="4"/>
</file>

<file path=xl/ctrlProps/ctrlProp8.xml><?xml version="1.0" encoding="utf-8"?>
<formControlPr xmlns="http://schemas.microsoft.com/office/spreadsheetml/2009/9/main" objectType="Scroll" dx="16" fmlaLink="#REF!" horiz="1" max="100" page="10" val="15"/>
</file>

<file path=xl/ctrlProps/ctrlProp9.xml><?xml version="1.0" encoding="utf-8"?>
<formControlPr xmlns="http://schemas.microsoft.com/office/spreadsheetml/2009/9/main" objectType="Scroll" dx="16" fmlaLink="#REF!" horiz="1" max="100" page="10" val="0"/>
</file>

<file path=xl/ctrlProps/ctrlProp10.xml><?xml version="1.0" encoding="utf-8"?>
<formControlPr xmlns="http://schemas.microsoft.com/office/spreadsheetml/2009/9/main" objectType="Scroll" dx="16" fmlaLink="$F$2" horiz="1" max="100" page="10" val="35"/>
</file>

<file path=xl/ctrlProps/ctrlProp11.xml><?xml version="1.0" encoding="utf-8"?>
<formControlPr xmlns="http://schemas.microsoft.com/office/spreadsheetml/2009/9/main" objectType="Spin" dx="16" fmlaLink="$F$2" max="100" page="10" val="35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</xdr:row>
          <xdr:rowOff>7620</xdr:rowOff>
        </xdr:from>
        <xdr:to>
          <xdr:col>2</xdr:col>
          <xdr:colOff>0</xdr:colOff>
          <xdr:row>1</xdr:row>
          <xdr:rowOff>518160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11007</xdr:colOff>
      <xdr:row>1</xdr:row>
      <xdr:rowOff>13124</xdr:rowOff>
    </xdr:from>
    <xdr:to>
      <xdr:col>8</xdr:col>
      <xdr:colOff>63807</xdr:colOff>
      <xdr:row>16</xdr:row>
      <xdr:rowOff>35624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279399</xdr:colOff>
      <xdr:row>1</xdr:row>
      <xdr:rowOff>3599</xdr:rowOff>
    </xdr:from>
    <xdr:to>
      <xdr:col>17</xdr:col>
      <xdr:colOff>332199</xdr:colOff>
      <xdr:row>16</xdr:row>
      <xdr:rowOff>26099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542925</xdr:colOff>
      <xdr:row>1</xdr:row>
      <xdr:rowOff>0</xdr:rowOff>
    </xdr:from>
    <xdr:to>
      <xdr:col>26</xdr:col>
      <xdr:colOff>595725</xdr:colOff>
      <xdr:row>16</xdr:row>
      <xdr:rowOff>22500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552449</xdr:colOff>
      <xdr:row>17</xdr:row>
      <xdr:rowOff>9525</xdr:rowOff>
    </xdr:from>
    <xdr:to>
      <xdr:col>26</xdr:col>
      <xdr:colOff>605249</xdr:colOff>
      <xdr:row>32</xdr:row>
      <xdr:rowOff>32025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1482</xdr:colOff>
      <xdr:row>17</xdr:row>
      <xdr:rowOff>0</xdr:rowOff>
    </xdr:from>
    <xdr:to>
      <xdr:col>8</xdr:col>
      <xdr:colOff>54282</xdr:colOff>
      <xdr:row>32</xdr:row>
      <xdr:rowOff>22500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86519</xdr:colOff>
      <xdr:row>16</xdr:row>
      <xdr:rowOff>189706</xdr:rowOff>
    </xdr:from>
    <xdr:to>
      <xdr:col>15</xdr:col>
      <xdr:colOff>235338</xdr:colOff>
      <xdr:row>32</xdr:row>
      <xdr:rowOff>21706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317183</xdr:colOff>
      <xdr:row>17</xdr:row>
      <xdr:rowOff>0</xdr:rowOff>
    </xdr:from>
    <xdr:to>
      <xdr:col>11</xdr:col>
      <xdr:colOff>468383</xdr:colOff>
      <xdr:row>32</xdr:row>
      <xdr:rowOff>22500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447675</xdr:colOff>
      <xdr:row>17</xdr:row>
      <xdr:rowOff>0</xdr:rowOff>
    </xdr:from>
    <xdr:to>
      <xdr:col>18</xdr:col>
      <xdr:colOff>598875</xdr:colOff>
      <xdr:row>32</xdr:row>
      <xdr:rowOff>22500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297180</xdr:colOff>
      <xdr:row>17</xdr:row>
      <xdr:rowOff>76200</xdr:rowOff>
    </xdr:from>
    <xdr:to>
      <xdr:col>10</xdr:col>
      <xdr:colOff>358140</xdr:colOff>
      <xdr:row>34</xdr:row>
      <xdr:rowOff>68580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251460</xdr:colOff>
      <xdr:row>17</xdr:row>
      <xdr:rowOff>68580</xdr:rowOff>
    </xdr:from>
    <xdr:to>
      <xdr:col>6</xdr:col>
      <xdr:colOff>243840</xdr:colOff>
      <xdr:row>35</xdr:row>
      <xdr:rowOff>7620</xdr:rowOff>
    </xdr:to>
    <xdr:graphicFrame macro="">
      <xdr:nvGraphicFramePr>
        <xdr:cNvPr id="7" name="Chart 2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7620</xdr:rowOff>
        </xdr:from>
        <xdr:to>
          <xdr:col>4</xdr:col>
          <xdr:colOff>22860</xdr:colOff>
          <xdr:row>29</xdr:row>
          <xdr:rowOff>114300</xdr:rowOff>
        </xdr:to>
        <xdr:sp macro="" textlink="">
          <xdr:nvSpPr>
            <xdr:cNvPr id="14337" name="Scroll Bar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28</xdr:row>
          <xdr:rowOff>7620</xdr:rowOff>
        </xdr:from>
        <xdr:to>
          <xdr:col>5</xdr:col>
          <xdr:colOff>152400</xdr:colOff>
          <xdr:row>29</xdr:row>
          <xdr:rowOff>121920</xdr:rowOff>
        </xdr:to>
        <xdr:sp macro="" textlink="">
          <xdr:nvSpPr>
            <xdr:cNvPr id="14339" name="Scroll Bar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2</xdr:row>
          <xdr:rowOff>45720</xdr:rowOff>
        </xdr:from>
        <xdr:to>
          <xdr:col>6</xdr:col>
          <xdr:colOff>0</xdr:colOff>
          <xdr:row>4</xdr:row>
          <xdr:rowOff>121920</xdr:rowOff>
        </xdr:to>
        <xdr:sp macro="" textlink="">
          <xdr:nvSpPr>
            <xdr:cNvPr id="14340" name="Spinner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297180</xdr:colOff>
      <xdr:row>17</xdr:row>
      <xdr:rowOff>76200</xdr:rowOff>
    </xdr:from>
    <xdr:to>
      <xdr:col>10</xdr:col>
      <xdr:colOff>358140</xdr:colOff>
      <xdr:row>34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251460</xdr:colOff>
      <xdr:row>17</xdr:row>
      <xdr:rowOff>68580</xdr:rowOff>
    </xdr:from>
    <xdr:to>
      <xdr:col>6</xdr:col>
      <xdr:colOff>243840</xdr:colOff>
      <xdr:row>35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7620</xdr:rowOff>
        </xdr:from>
        <xdr:to>
          <xdr:col>3</xdr:col>
          <xdr:colOff>556260</xdr:colOff>
          <xdr:row>29</xdr:row>
          <xdr:rowOff>114300</xdr:rowOff>
        </xdr:to>
        <xdr:sp macro="" textlink="">
          <xdr:nvSpPr>
            <xdr:cNvPr id="20481" name="Scroll Bar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6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28</xdr:row>
          <xdr:rowOff>7620</xdr:rowOff>
        </xdr:from>
        <xdr:to>
          <xdr:col>5</xdr:col>
          <xdr:colOff>76200</xdr:colOff>
          <xdr:row>29</xdr:row>
          <xdr:rowOff>121920</xdr:rowOff>
        </xdr:to>
        <xdr:sp macro="" textlink="">
          <xdr:nvSpPr>
            <xdr:cNvPr id="20482" name="Scroll Bar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6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2</xdr:row>
          <xdr:rowOff>45720</xdr:rowOff>
        </xdr:from>
        <xdr:to>
          <xdr:col>6</xdr:col>
          <xdr:colOff>0</xdr:colOff>
          <xdr:row>4</xdr:row>
          <xdr:rowOff>121920</xdr:rowOff>
        </xdr:to>
        <xdr:sp macro="" textlink="">
          <xdr:nvSpPr>
            <xdr:cNvPr id="20483" name="Spinner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6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297180</xdr:colOff>
      <xdr:row>17</xdr:row>
      <xdr:rowOff>76200</xdr:rowOff>
    </xdr:from>
    <xdr:to>
      <xdr:col>10</xdr:col>
      <xdr:colOff>358140</xdr:colOff>
      <xdr:row>34</xdr:row>
      <xdr:rowOff>68580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251460</xdr:colOff>
      <xdr:row>17</xdr:row>
      <xdr:rowOff>68580</xdr:rowOff>
    </xdr:from>
    <xdr:to>
      <xdr:col>6</xdr:col>
      <xdr:colOff>243840</xdr:colOff>
      <xdr:row>35</xdr:row>
      <xdr:rowOff>7620</xdr:rowOff>
    </xdr:to>
    <xdr:graphicFrame macro="">
      <xdr:nvGraphicFramePr>
        <xdr:cNvPr id="8" name="Chart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7620</xdr:rowOff>
        </xdr:from>
        <xdr:to>
          <xdr:col>4</xdr:col>
          <xdr:colOff>22860</xdr:colOff>
          <xdr:row>29</xdr:row>
          <xdr:rowOff>114300</xdr:rowOff>
        </xdr:to>
        <xdr:sp macro="" textlink="">
          <xdr:nvSpPr>
            <xdr:cNvPr id="16385" name="Scroll Bar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7620</xdr:rowOff>
        </xdr:from>
        <xdr:to>
          <xdr:col>4</xdr:col>
          <xdr:colOff>22860</xdr:colOff>
          <xdr:row>29</xdr:row>
          <xdr:rowOff>114300</xdr:rowOff>
        </xdr:to>
        <xdr:sp macro="" textlink="">
          <xdr:nvSpPr>
            <xdr:cNvPr id="16387" name="Scroll Bar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28</xdr:row>
          <xdr:rowOff>7620</xdr:rowOff>
        </xdr:from>
        <xdr:to>
          <xdr:col>5</xdr:col>
          <xdr:colOff>152400</xdr:colOff>
          <xdr:row>29</xdr:row>
          <xdr:rowOff>121920</xdr:rowOff>
        </xdr:to>
        <xdr:sp macro="" textlink="">
          <xdr:nvSpPr>
            <xdr:cNvPr id="16388" name="Scroll Bar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8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2</xdr:row>
          <xdr:rowOff>45720</xdr:rowOff>
        </xdr:from>
        <xdr:to>
          <xdr:col>6</xdr:col>
          <xdr:colOff>0</xdr:colOff>
          <xdr:row>4</xdr:row>
          <xdr:rowOff>121920</xdr:rowOff>
        </xdr:to>
        <xdr:sp macro="" textlink="">
          <xdr:nvSpPr>
            <xdr:cNvPr id="16389" name="Spinner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8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900000%20Accounting\990003%20Dashboard\02%20Daily%20Dashboard\2014\03%20March\20140324_UG_Daily_Dashboard_3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DailyReportTotal"/>
      <sheetName val="DailyReportPerBranch"/>
      <sheetName val="Consolidated Graphs"/>
      <sheetName val="PAR30"/>
      <sheetName val="PAR1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T43"/>
  <sheetViews>
    <sheetView tabSelected="1" workbookViewId="0">
      <selection activeCell="I19" sqref="I19"/>
    </sheetView>
  </sheetViews>
  <sheetFormatPr defaultColWidth="11.44140625" defaultRowHeight="13.2" x14ac:dyDescent="0.25"/>
  <cols>
    <col min="1" max="1" width="36.5546875" style="7" customWidth="1"/>
    <col min="2" max="2" width="19.33203125" style="7" bestFit="1" customWidth="1"/>
    <col min="3" max="3" width="20" style="7" customWidth="1"/>
    <col min="4" max="4" width="24.5546875" style="7" customWidth="1"/>
    <col min="5" max="5" width="17.6640625" style="7" customWidth="1"/>
    <col min="6" max="6" width="20" style="7" customWidth="1"/>
    <col min="7" max="8" width="11.44140625" style="7"/>
    <col min="9" max="20" width="11.44140625" style="1"/>
    <col min="21" max="16384" width="11.44140625" style="7"/>
  </cols>
  <sheetData>
    <row r="1" spans="1:12" x14ac:dyDescent="0.25">
      <c r="A1" s="1"/>
      <c r="B1" s="1"/>
      <c r="C1" s="1" t="s">
        <v>26</v>
      </c>
      <c r="D1" s="1"/>
      <c r="E1" s="1"/>
      <c r="F1" s="1"/>
      <c r="G1" s="1"/>
      <c r="H1" s="1"/>
    </row>
    <row r="2" spans="1:12" ht="42" customHeight="1" x14ac:dyDescent="0.25">
      <c r="A2" s="1"/>
      <c r="B2" s="1"/>
      <c r="C2" s="1"/>
      <c r="D2" s="1"/>
      <c r="E2" s="1"/>
      <c r="F2" s="1"/>
      <c r="G2" s="1"/>
      <c r="H2" s="1"/>
    </row>
    <row r="3" spans="1:12" x14ac:dyDescent="0.25">
      <c r="A3" s="1"/>
      <c r="B3" s="1"/>
      <c r="C3" s="1"/>
      <c r="D3" s="1"/>
      <c r="E3" s="1"/>
      <c r="F3" s="1"/>
      <c r="G3" s="1"/>
      <c r="H3" s="1"/>
    </row>
    <row r="4" spans="1:12" ht="15.6" x14ac:dyDescent="0.3">
      <c r="A4" s="11" t="s">
        <v>0</v>
      </c>
      <c r="B4" s="12"/>
      <c r="C4" s="12"/>
      <c r="D4" s="12"/>
      <c r="E4" s="12"/>
      <c r="F4" s="12"/>
      <c r="G4" s="12"/>
      <c r="H4" s="13"/>
    </row>
    <row r="5" spans="1:12" ht="13.8" thickBot="1" x14ac:dyDescent="0.3">
      <c r="A5" s="2"/>
      <c r="B5" s="3"/>
      <c r="C5" s="4"/>
      <c r="D5" s="4"/>
      <c r="E5" s="4"/>
      <c r="F5" s="4"/>
      <c r="G5" s="4"/>
      <c r="H5" s="5"/>
    </row>
    <row r="6" spans="1:12" ht="13.8" thickBot="1" x14ac:dyDescent="0.3">
      <c r="A6" s="28" t="s">
        <v>1</v>
      </c>
      <c r="B6" s="6" t="s">
        <v>151</v>
      </c>
      <c r="C6" s="16" t="s">
        <v>2</v>
      </c>
      <c r="D6" s="4"/>
      <c r="E6" s="73" t="s">
        <v>132</v>
      </c>
      <c r="F6" s="72" t="s">
        <v>271</v>
      </c>
      <c r="G6" s="4"/>
      <c r="H6" s="5"/>
    </row>
    <row r="7" spans="1:12" ht="13.8" thickBot="1" x14ac:dyDescent="0.3">
      <c r="A7" s="28" t="s">
        <v>18</v>
      </c>
      <c r="B7" s="6" t="s">
        <v>128</v>
      </c>
      <c r="C7" s="4"/>
      <c r="D7" s="3"/>
      <c r="E7" s="73" t="s">
        <v>131</v>
      </c>
      <c r="F7" s="72" t="s">
        <v>274</v>
      </c>
      <c r="G7" s="4"/>
      <c r="H7" s="5"/>
    </row>
    <row r="8" spans="1:12" ht="13.5" customHeight="1" x14ac:dyDescent="0.25">
      <c r="A8" s="28" t="s">
        <v>45</v>
      </c>
      <c r="B8" s="6" t="s">
        <v>129</v>
      </c>
      <c r="C8" s="4"/>
      <c r="D8" s="4"/>
      <c r="E8" s="4"/>
      <c r="F8" s="4"/>
      <c r="G8" s="4"/>
      <c r="H8" s="5"/>
    </row>
    <row r="9" spans="1:12" ht="13.5" customHeight="1" x14ac:dyDescent="0.25">
      <c r="A9" s="8"/>
      <c r="B9" s="4"/>
      <c r="C9" s="4"/>
      <c r="D9" s="4"/>
      <c r="E9" s="4"/>
      <c r="F9" s="4"/>
      <c r="G9" s="4"/>
      <c r="H9" s="5"/>
    </row>
    <row r="10" spans="1:12" s="20" customFormat="1" ht="14.4" x14ac:dyDescent="0.3">
      <c r="A10" s="17" t="s">
        <v>13</v>
      </c>
      <c r="B10" s="114" t="s">
        <v>14</v>
      </c>
      <c r="C10" s="114"/>
      <c r="D10" s="18" t="s">
        <v>217</v>
      </c>
      <c r="E10" s="22"/>
      <c r="F10" s="21"/>
      <c r="H10" s="19"/>
    </row>
    <row r="11" spans="1:12" s="20" customFormat="1" ht="14.4" x14ac:dyDescent="0.3">
      <c r="A11" s="22"/>
      <c r="B11" s="114" t="s">
        <v>15</v>
      </c>
      <c r="C11" s="114"/>
      <c r="D11" s="18" t="s">
        <v>218</v>
      </c>
      <c r="E11" s="22"/>
      <c r="F11" s="21"/>
      <c r="H11" s="19"/>
    </row>
    <row r="12" spans="1:12" s="20" customFormat="1" ht="14.4" x14ac:dyDescent="0.3">
      <c r="A12" s="22"/>
      <c r="B12" s="114" t="s">
        <v>16</v>
      </c>
      <c r="C12" s="114"/>
      <c r="D12" s="18" t="s">
        <v>112</v>
      </c>
      <c r="E12" s="22"/>
      <c r="F12" s="21"/>
      <c r="H12" s="19"/>
    </row>
    <row r="13" spans="1:12" s="20" customFormat="1" ht="14.4" x14ac:dyDescent="0.3">
      <c r="A13" s="22"/>
      <c r="B13" s="114" t="s">
        <v>17</v>
      </c>
      <c r="C13" s="114"/>
      <c r="D13" s="18" t="s">
        <v>26</v>
      </c>
      <c r="E13" s="22"/>
      <c r="F13" s="21"/>
      <c r="H13" s="19"/>
      <c r="J13" s="20">
        <v>1</v>
      </c>
    </row>
    <row r="14" spans="1:12" s="1" customFormat="1" ht="14.4" x14ac:dyDescent="0.3">
      <c r="A14" s="8"/>
      <c r="B14" s="23"/>
      <c r="C14" s="23"/>
      <c r="D14" s="23"/>
      <c r="E14" s="23"/>
      <c r="F14" s="23"/>
      <c r="G14" s="23"/>
      <c r="H14" s="24"/>
      <c r="I14" s="10"/>
      <c r="J14" s="10">
        <v>2077931476.24</v>
      </c>
      <c r="K14" s="10"/>
      <c r="L14" s="10"/>
    </row>
    <row r="15" spans="1:12" s="9" customFormat="1" x14ac:dyDescent="0.25">
      <c r="A15" s="25"/>
      <c r="B15" s="26"/>
      <c r="C15" s="26"/>
      <c r="D15" s="26"/>
      <c r="E15" s="26"/>
      <c r="F15" s="26"/>
      <c r="G15" s="26"/>
      <c r="H15" s="27"/>
      <c r="J15" s="9">
        <v>2482</v>
      </c>
    </row>
    <row r="16" spans="1:12" s="9" customFormat="1" x14ac:dyDescent="0.25">
      <c r="J16" s="9">
        <v>16686756768.73</v>
      </c>
    </row>
    <row r="17" spans="2:10" s="9" customFormat="1" x14ac:dyDescent="0.25">
      <c r="J17" s="9">
        <v>942</v>
      </c>
    </row>
    <row r="18" spans="2:10" s="9" customFormat="1" x14ac:dyDescent="0.25">
      <c r="J18" s="9">
        <v>0.33174900000000002</v>
      </c>
    </row>
    <row r="19" spans="2:10" s="9" customFormat="1" x14ac:dyDescent="0.25">
      <c r="J19" s="9">
        <v>6.6341999999999998E-2</v>
      </c>
    </row>
    <row r="20" spans="2:10" s="9" customFormat="1" ht="12.75" customHeight="1" x14ac:dyDescent="0.25">
      <c r="B20" s="115" t="s">
        <v>106</v>
      </c>
      <c r="C20" s="116"/>
      <c r="D20" s="116"/>
      <c r="E20" s="117"/>
      <c r="J20" s="9">
        <v>208010366.94999999</v>
      </c>
    </row>
    <row r="21" spans="2:10" s="9" customFormat="1" ht="12.75" customHeight="1" x14ac:dyDescent="0.3">
      <c r="B21" s="39"/>
      <c r="C21" s="40"/>
      <c r="D21" s="40"/>
      <c r="E21" s="24"/>
      <c r="J21" s="9">
        <f>J20-I20</f>
        <v>208010366.94999999</v>
      </c>
    </row>
    <row r="22" spans="2:10" s="9" customFormat="1" ht="12.75" customHeight="1" x14ac:dyDescent="0.3">
      <c r="B22" s="110" t="s">
        <v>107</v>
      </c>
      <c r="C22" s="111"/>
      <c r="D22" s="40">
        <v>20170401</v>
      </c>
      <c r="E22" s="24"/>
    </row>
    <row r="23" spans="2:10" s="9" customFormat="1" ht="12.75" customHeight="1" x14ac:dyDescent="0.3">
      <c r="B23" s="112" t="s">
        <v>108</v>
      </c>
      <c r="C23" s="113"/>
      <c r="D23" s="41" t="s">
        <v>136</v>
      </c>
      <c r="E23" s="42"/>
      <c r="J23" s="9">
        <v>673740150</v>
      </c>
    </row>
    <row r="24" spans="2:10" s="9" customFormat="1" x14ac:dyDescent="0.25"/>
    <row r="25" spans="2:10" s="9" customFormat="1" x14ac:dyDescent="0.25"/>
    <row r="26" spans="2:10" s="9" customFormat="1" x14ac:dyDescent="0.25"/>
    <row r="27" spans="2:10" s="9" customFormat="1" x14ac:dyDescent="0.25"/>
    <row r="28" spans="2:10" s="9" customFormat="1" x14ac:dyDescent="0.25"/>
    <row r="29" spans="2:10" s="9" customFormat="1" x14ac:dyDescent="0.25"/>
    <row r="30" spans="2:10" s="9" customFormat="1" x14ac:dyDescent="0.25"/>
    <row r="31" spans="2:10" s="9" customFormat="1" x14ac:dyDescent="0.25"/>
    <row r="32" spans="2:10" s="9" customFormat="1" x14ac:dyDescent="0.25"/>
    <row r="33" s="9" customFormat="1" x14ac:dyDescent="0.25"/>
    <row r="34" s="9" customFormat="1" x14ac:dyDescent="0.25"/>
    <row r="35" s="9" customFormat="1" x14ac:dyDescent="0.25"/>
    <row r="36" s="9" customFormat="1" x14ac:dyDescent="0.25"/>
    <row r="37" s="9" customFormat="1" x14ac:dyDescent="0.25"/>
    <row r="38" s="9" customFormat="1" x14ac:dyDescent="0.25"/>
    <row r="39" s="9" customFormat="1" x14ac:dyDescent="0.25"/>
    <row r="40" s="9" customFormat="1" x14ac:dyDescent="0.25"/>
    <row r="41" s="9" customFormat="1" x14ac:dyDescent="0.25"/>
    <row r="42" s="9" customFormat="1" x14ac:dyDescent="0.25"/>
    <row r="43" s="9" customFormat="1" x14ac:dyDescent="0.25"/>
  </sheetData>
  <mergeCells count="7">
    <mergeCell ref="B22:C22"/>
    <mergeCell ref="B23:C23"/>
    <mergeCell ref="B13:C13"/>
    <mergeCell ref="B10:C10"/>
    <mergeCell ref="B11:C11"/>
    <mergeCell ref="B12:C12"/>
    <mergeCell ref="B20:E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_xludf.Execute">
                <anchor moveWithCells="1" sizeWithCells="1">
                  <from>
                    <xdr:col>0</xdr:col>
                    <xdr:colOff>121920</xdr:colOff>
                    <xdr:row>1</xdr:row>
                    <xdr:rowOff>7620</xdr:rowOff>
                  </from>
                  <to>
                    <xdr:col>2</xdr:col>
                    <xdr:colOff>0</xdr:colOff>
                    <xdr:row>1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AA42"/>
  <sheetViews>
    <sheetView zoomScale="80" zoomScaleNormal="80" workbookViewId="0">
      <pane xSplit="1" topLeftCell="B1" activePane="topRight" state="frozen"/>
      <selection activeCell="L6" sqref="L6"/>
      <selection pane="topRight" activeCell="G2" sqref="G2"/>
    </sheetView>
  </sheetViews>
  <sheetFormatPr defaultColWidth="11.5546875" defaultRowHeight="14.4" x14ac:dyDescent="0.3"/>
  <cols>
    <col min="1" max="1" width="27.44140625" bestFit="1" customWidth="1"/>
    <col min="2" max="7" width="23.6640625" customWidth="1"/>
    <col min="8" max="8" width="20.44140625" style="109" bestFit="1" customWidth="1"/>
    <col min="9" max="21" width="19.5546875" customWidth="1"/>
    <col min="22" max="27" width="16.88671875" bestFit="1" customWidth="1"/>
    <col min="28" max="28" width="12.6640625" bestFit="1" customWidth="1"/>
  </cols>
  <sheetData>
    <row r="1" spans="1:13" s="63" customFormat="1" x14ac:dyDescent="0.3">
      <c r="A1" s="63" t="s">
        <v>9</v>
      </c>
      <c r="B1" s="64">
        <v>44111</v>
      </c>
      <c r="C1" s="64">
        <v>44112</v>
      </c>
      <c r="D1" s="64">
        <v>44114</v>
      </c>
      <c r="E1" s="64">
        <v>44116</v>
      </c>
      <c r="F1" s="64">
        <v>44117</v>
      </c>
      <c r="G1" s="64">
        <v>44128</v>
      </c>
      <c r="H1" s="65" t="s">
        <v>10</v>
      </c>
      <c r="I1" s="65"/>
      <c r="J1" s="65"/>
      <c r="K1" s="65"/>
      <c r="L1" s="65"/>
      <c r="M1" s="65"/>
    </row>
    <row r="2" spans="1:13" x14ac:dyDescent="0.3">
      <c r="H2" s="54">
        <f>MAXA(B1:H1)</f>
        <v>44128</v>
      </c>
    </row>
    <row r="3" spans="1:13" x14ac:dyDescent="0.3">
      <c r="A3" t="s">
        <v>38</v>
      </c>
      <c r="B3" s="34">
        <v>5557707940.1800003</v>
      </c>
      <c r="C3" s="34">
        <v>5029609851.1800003</v>
      </c>
      <c r="D3" s="34">
        <v>5029609851.1800003</v>
      </c>
      <c r="E3" s="34">
        <v>5157680251.1800003</v>
      </c>
      <c r="F3" s="34">
        <v>4882256951.2600002</v>
      </c>
      <c r="G3" s="34">
        <v>3780657682.2600002</v>
      </c>
      <c r="H3" s="102">
        <f>HLOOKUP(H$2,$B$1:$H$18,3,0)</f>
        <v>3780657682.2600002</v>
      </c>
    </row>
    <row r="4" spans="1:13" x14ac:dyDescent="0.3">
      <c r="A4" t="s">
        <v>41</v>
      </c>
      <c r="B4" s="34">
        <v>4546.4399999999996</v>
      </c>
      <c r="C4" s="34">
        <v>39546.44</v>
      </c>
      <c r="D4" s="34">
        <v>39546.44</v>
      </c>
      <c r="E4" s="34">
        <v>39546.44</v>
      </c>
      <c r="F4" s="34">
        <v>39546.44</v>
      </c>
      <c r="G4" s="34">
        <v>18701</v>
      </c>
      <c r="H4" s="102">
        <f>HLOOKUP(H$2,$B$1:$H$18,4,0)</f>
        <v>18701</v>
      </c>
    </row>
    <row r="5" spans="1:13" x14ac:dyDescent="0.3">
      <c r="A5" t="s">
        <v>39</v>
      </c>
      <c r="B5" s="34">
        <v>1300000000</v>
      </c>
      <c r="C5" s="34">
        <v>1300000000</v>
      </c>
      <c r="D5" s="34">
        <v>1300000000</v>
      </c>
      <c r="E5" s="34">
        <v>1300000000</v>
      </c>
      <c r="F5" s="34">
        <v>1300000000</v>
      </c>
      <c r="G5" s="34">
        <v>1300000000</v>
      </c>
      <c r="H5" s="102">
        <f>HLOOKUP(H$2,$B$1:$H$18,5,0)</f>
        <v>1300000000</v>
      </c>
    </row>
    <row r="6" spans="1:13" x14ac:dyDescent="0.3">
      <c r="A6" t="s">
        <v>40</v>
      </c>
      <c r="B6" s="34">
        <v>0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103">
        <f>HLOOKUP(H$2,$B$1:$H$18,6,0)</f>
        <v>0</v>
      </c>
    </row>
    <row r="7" spans="1:13" x14ac:dyDescent="0.3">
      <c r="A7" s="14"/>
      <c r="H7" s="104"/>
    </row>
    <row r="8" spans="1:13" x14ac:dyDescent="0.3">
      <c r="A8" t="s">
        <v>7</v>
      </c>
      <c r="B8" s="34">
        <v>38558073154.839996</v>
      </c>
      <c r="C8" s="34">
        <v>38420168584.610001</v>
      </c>
      <c r="D8" s="34">
        <v>38383209409.57</v>
      </c>
      <c r="E8" s="34">
        <v>38484245494.07</v>
      </c>
      <c r="F8" s="34">
        <v>38501492220.269997</v>
      </c>
      <c r="G8" s="34">
        <v>38538894769.309998</v>
      </c>
      <c r="H8" s="102">
        <f>HLOOKUP(H$2,$B$1:$H$18,8,0)</f>
        <v>38538894769.309998</v>
      </c>
    </row>
    <row r="9" spans="1:13" x14ac:dyDescent="0.3">
      <c r="A9" t="s">
        <v>19</v>
      </c>
      <c r="B9">
        <v>9322</v>
      </c>
      <c r="C9">
        <v>9333</v>
      </c>
      <c r="D9">
        <v>9335</v>
      </c>
      <c r="E9">
        <v>9338</v>
      </c>
      <c r="F9">
        <v>9345</v>
      </c>
      <c r="G9">
        <v>9377</v>
      </c>
      <c r="H9" s="104">
        <f>HLOOKUP(H$2,$B$1:$H$18,9,0)</f>
        <v>9377</v>
      </c>
    </row>
    <row r="10" spans="1:13" x14ac:dyDescent="0.3">
      <c r="A10" t="s">
        <v>20</v>
      </c>
      <c r="B10" s="34">
        <v>59244287857.980003</v>
      </c>
      <c r="C10" s="34">
        <v>59377648582.900002</v>
      </c>
      <c r="D10" s="34">
        <v>59441040544.040001</v>
      </c>
      <c r="E10" s="34">
        <v>59535876533.400002</v>
      </c>
      <c r="F10" s="34">
        <v>59552701413.489998</v>
      </c>
      <c r="G10" s="34">
        <v>59961123887.690002</v>
      </c>
      <c r="H10" s="102">
        <f>HLOOKUP(H$2,$B$1:$H$18,10,0)</f>
        <v>59961123887.690002</v>
      </c>
    </row>
    <row r="11" spans="1:13" x14ac:dyDescent="0.3">
      <c r="A11" t="s">
        <v>47</v>
      </c>
      <c r="B11" s="34">
        <v>2736</v>
      </c>
      <c r="C11" s="34">
        <v>2738</v>
      </c>
      <c r="D11" s="34">
        <v>2741</v>
      </c>
      <c r="E11" s="34">
        <v>2747</v>
      </c>
      <c r="F11" s="34">
        <v>2752</v>
      </c>
      <c r="G11" s="34">
        <v>2769</v>
      </c>
      <c r="H11" s="102">
        <f>HLOOKUP(H$2,$B$1:$H$18,11,0)</f>
        <v>2769</v>
      </c>
    </row>
    <row r="12" spans="1:13" x14ac:dyDescent="0.3">
      <c r="A12" t="s">
        <v>21</v>
      </c>
      <c r="B12" s="29">
        <v>0.39466699999999999</v>
      </c>
      <c r="C12" s="29">
        <v>0.39954400000000001</v>
      </c>
      <c r="D12" s="29">
        <v>0.41201500000000002</v>
      </c>
      <c r="E12" s="29">
        <v>0.40013700000000002</v>
      </c>
      <c r="F12" s="29">
        <v>0.39002300000000001</v>
      </c>
      <c r="G12" s="29">
        <v>0.44554700000000003</v>
      </c>
      <c r="H12" s="105">
        <f>HLOOKUP(H$2,$B$1:$H$18,12,0)</f>
        <v>0.44554700000000003</v>
      </c>
    </row>
    <row r="13" spans="1:13" x14ac:dyDescent="0.3">
      <c r="A13" t="s">
        <v>22</v>
      </c>
      <c r="B13" s="29">
        <v>0.120116</v>
      </c>
      <c r="C13" s="29">
        <v>0.124844</v>
      </c>
      <c r="D13" s="29">
        <v>0.13794300000000001</v>
      </c>
      <c r="E13" s="29">
        <v>0.13585800000000001</v>
      </c>
      <c r="F13" s="29">
        <v>0.134575</v>
      </c>
      <c r="G13" s="29">
        <v>0.168019</v>
      </c>
      <c r="H13" s="105">
        <f>HLOOKUP(H$2,$B$1:$H$18,13,0)</f>
        <v>0.168019</v>
      </c>
    </row>
    <row r="14" spans="1:13" x14ac:dyDescent="0.3">
      <c r="A14" t="s">
        <v>138</v>
      </c>
      <c r="B14" s="74">
        <v>1.8616000000000001E-2</v>
      </c>
      <c r="C14" s="74">
        <v>1.8440999999999999E-2</v>
      </c>
      <c r="D14" s="74">
        <v>1.8421E-2</v>
      </c>
      <c r="E14" s="74">
        <v>1.8391000000000001E-2</v>
      </c>
      <c r="F14" s="74">
        <v>1.8386E-2</v>
      </c>
      <c r="G14" s="74">
        <v>1.8117999999999999E-2</v>
      </c>
      <c r="H14" s="106">
        <f>HLOOKUP(H$2,$B$1:$H$18,14,0)</f>
        <v>1.8117999999999999E-2</v>
      </c>
    </row>
    <row r="15" spans="1:13" x14ac:dyDescent="0.3">
      <c r="A15" t="s">
        <v>23</v>
      </c>
      <c r="B15" s="80">
        <v>1510939541.4400001</v>
      </c>
      <c r="C15" s="80">
        <v>2690944214.6599998</v>
      </c>
      <c r="D15" s="80">
        <v>2784944214.6599998</v>
      </c>
      <c r="E15" s="80">
        <v>3371089439.6500001</v>
      </c>
      <c r="F15" s="80">
        <v>3554594193.23</v>
      </c>
      <c r="G15" s="80">
        <v>5420149441.3599997</v>
      </c>
      <c r="H15" s="102">
        <f>HLOOKUP(H$2,$B$1:$H$18,15,0)</f>
        <v>5420149441.3599997</v>
      </c>
    </row>
    <row r="16" spans="1:13" x14ac:dyDescent="0.3">
      <c r="A16" t="s">
        <v>140</v>
      </c>
      <c r="B16" s="81">
        <v>56</v>
      </c>
      <c r="C16" s="81">
        <v>81</v>
      </c>
      <c r="D16" s="81">
        <v>85</v>
      </c>
      <c r="E16" s="81">
        <v>118</v>
      </c>
      <c r="F16" s="81">
        <v>130</v>
      </c>
      <c r="G16" s="81">
        <v>196</v>
      </c>
      <c r="H16" s="104">
        <f>HLOOKUP(H$2,$B$1:$H$18,16,0)</f>
        <v>196</v>
      </c>
    </row>
    <row r="17" spans="1:27" s="66" customFormat="1" x14ac:dyDescent="0.3">
      <c r="A17" s="15" t="s">
        <v>24</v>
      </c>
      <c r="B17" s="80">
        <v>1510939541.4400001</v>
      </c>
      <c r="C17" s="80">
        <f t="shared" ref="C17:E18" si="0">C15-B15</f>
        <v>1180004673.2199998</v>
      </c>
      <c r="D17" s="80">
        <f t="shared" si="0"/>
        <v>94000000</v>
      </c>
      <c r="E17" s="80">
        <f t="shared" si="0"/>
        <v>586145224.99000025</v>
      </c>
      <c r="F17" s="80">
        <f>F15-E15</f>
        <v>183504753.57999992</v>
      </c>
      <c r="G17" s="80">
        <f>G15-F15</f>
        <v>1865555248.1299996</v>
      </c>
      <c r="H17" s="107">
        <f>HLOOKUP(H$2,$B$1:$H$18,17,0)</f>
        <v>1865555248.1299996</v>
      </c>
      <c r="I17"/>
      <c r="J17"/>
      <c r="K17"/>
      <c r="L17"/>
      <c r="M17"/>
      <c r="N17"/>
      <c r="O17"/>
      <c r="P17"/>
      <c r="Q17"/>
      <c r="R17"/>
      <c r="S17"/>
    </row>
    <row r="18" spans="1:27" x14ac:dyDescent="0.3">
      <c r="A18" s="15" t="s">
        <v>139</v>
      </c>
      <c r="B18" s="81">
        <v>56</v>
      </c>
      <c r="C18" s="81">
        <f t="shared" si="0"/>
        <v>25</v>
      </c>
      <c r="D18" s="81">
        <f t="shared" si="0"/>
        <v>4</v>
      </c>
      <c r="E18" s="81">
        <f t="shared" si="0"/>
        <v>33</v>
      </c>
      <c r="F18" s="81">
        <f>F16-E16</f>
        <v>12</v>
      </c>
      <c r="G18" s="81">
        <f>G16-F16</f>
        <v>66</v>
      </c>
      <c r="H18" s="108">
        <f>HLOOKUP(H$2,$B$1:$H$18,18,0)</f>
        <v>66</v>
      </c>
    </row>
    <row r="19" spans="1:27" x14ac:dyDescent="0.3">
      <c r="A19" s="67" t="s">
        <v>42</v>
      </c>
      <c r="B19" s="79">
        <v>2342296195</v>
      </c>
      <c r="C19" s="79">
        <v>2342296195</v>
      </c>
      <c r="D19" s="79">
        <v>2342296195</v>
      </c>
      <c r="E19" s="79">
        <v>2342296195</v>
      </c>
      <c r="F19" s="79">
        <v>2342296195</v>
      </c>
      <c r="G19" s="79">
        <v>2342296195</v>
      </c>
      <c r="H19" s="101">
        <f>HLOOKUP(H$2,$B$1:$H$18,3,0)</f>
        <v>3780657682.2600002</v>
      </c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</row>
    <row r="23" spans="1:27" x14ac:dyDescent="0.3">
      <c r="B23" s="68"/>
      <c r="C23" s="68"/>
      <c r="D23" s="68"/>
      <c r="E23" s="68"/>
      <c r="F23" s="68"/>
      <c r="G23" s="68"/>
    </row>
    <row r="25" spans="1:27" x14ac:dyDescent="0.3">
      <c r="B25" s="34"/>
      <c r="C25" s="34"/>
      <c r="D25" s="34"/>
      <c r="E25" s="34"/>
      <c r="F25" s="34"/>
      <c r="G25" s="34"/>
    </row>
    <row r="26" spans="1:27" x14ac:dyDescent="0.3">
      <c r="B26" s="34"/>
      <c r="C26" s="34"/>
      <c r="D26" s="34"/>
      <c r="E26" s="34"/>
      <c r="F26" s="34"/>
      <c r="G26" s="34"/>
    </row>
    <row r="27" spans="1:27" x14ac:dyDescent="0.3">
      <c r="B27" s="34"/>
      <c r="C27" s="34"/>
      <c r="D27" s="34"/>
      <c r="E27" s="34"/>
      <c r="F27" s="34"/>
      <c r="G27" s="34"/>
    </row>
    <row r="28" spans="1:27" x14ac:dyDescent="0.3">
      <c r="A28" s="29"/>
      <c r="B28" s="34"/>
      <c r="C28" s="34"/>
      <c r="D28" s="34"/>
      <c r="E28" s="34"/>
      <c r="F28" s="34"/>
      <c r="G28" s="34"/>
    </row>
    <row r="29" spans="1:27" x14ac:dyDescent="0.3">
      <c r="A29" s="29"/>
    </row>
    <row r="30" spans="1:27" x14ac:dyDescent="0.3">
      <c r="B30" s="34"/>
      <c r="C30" s="34"/>
      <c r="D30" s="34"/>
      <c r="E30" s="34"/>
      <c r="F30" s="34"/>
      <c r="G30" s="34"/>
    </row>
    <row r="32" spans="1:27" x14ac:dyDescent="0.3">
      <c r="B32" s="34"/>
      <c r="C32" s="34"/>
      <c r="D32" s="34"/>
      <c r="E32" s="34"/>
      <c r="F32" s="34"/>
      <c r="G32" s="34"/>
    </row>
    <row r="33" spans="2:7" x14ac:dyDescent="0.3">
      <c r="B33" s="34"/>
      <c r="C33" s="34"/>
      <c r="D33" s="34"/>
      <c r="E33" s="34"/>
      <c r="F33" s="34"/>
      <c r="G33" s="34"/>
    </row>
    <row r="34" spans="2:7" x14ac:dyDescent="0.3">
      <c r="B34" s="29"/>
      <c r="C34" s="29"/>
      <c r="D34" s="29"/>
      <c r="E34" s="29"/>
      <c r="F34" s="29"/>
      <c r="G34" s="29"/>
    </row>
    <row r="35" spans="2:7" x14ac:dyDescent="0.3">
      <c r="B35" s="29"/>
      <c r="C35" s="29"/>
      <c r="D35" s="29"/>
      <c r="E35" s="29"/>
      <c r="F35" s="29"/>
      <c r="G35" s="29"/>
    </row>
    <row r="36" spans="2:7" x14ac:dyDescent="0.3">
      <c r="B36" s="58"/>
      <c r="C36" s="58"/>
      <c r="D36" s="58"/>
      <c r="E36" s="58"/>
      <c r="F36" s="58"/>
      <c r="G36" s="58"/>
    </row>
    <row r="37" spans="2:7" x14ac:dyDescent="0.3">
      <c r="B37" s="58"/>
      <c r="C37" s="58"/>
      <c r="D37" s="58"/>
      <c r="E37" s="58"/>
      <c r="F37" s="58"/>
      <c r="G37" s="58"/>
    </row>
    <row r="39" spans="2:7" x14ac:dyDescent="0.3">
      <c r="B39" s="34"/>
      <c r="C39" s="34"/>
      <c r="D39" s="34"/>
      <c r="E39" s="34"/>
      <c r="F39" s="34"/>
      <c r="G39" s="34"/>
    </row>
    <row r="42" spans="2:7" x14ac:dyDescent="0.3">
      <c r="B42" s="44"/>
      <c r="C42" s="44"/>
      <c r="D42" s="44"/>
      <c r="E42" s="44"/>
      <c r="F42" s="44"/>
      <c r="G42" s="44"/>
    </row>
  </sheetData>
  <pageMargins left="0.70866141732283472" right="0.70866141732283472" top="0.74803149606299213" bottom="0.74803149606299213" header="0.31496062992125984" footer="0.31496062992125984"/>
  <pageSetup paperSize="9" scale="1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>
    <pageSetUpPr fitToPage="1"/>
  </sheetPr>
  <dimension ref="A1:R68"/>
  <sheetViews>
    <sheetView zoomScale="80" zoomScaleNormal="80" workbookViewId="0">
      <pane xSplit="1" topLeftCell="B1" activePane="topRight" state="frozen"/>
      <selection activeCell="L6" sqref="L6"/>
      <selection pane="topRight" activeCell="G2" sqref="G2"/>
    </sheetView>
  </sheetViews>
  <sheetFormatPr defaultColWidth="11.5546875" defaultRowHeight="14.4" x14ac:dyDescent="0.3"/>
  <cols>
    <col min="1" max="1" width="21.5546875" bestFit="1" customWidth="1"/>
    <col min="2" max="7" width="22.88671875" customWidth="1"/>
    <col min="8" max="8" width="24.5546875" customWidth="1"/>
    <col min="10" max="10" width="13.33203125" bestFit="1" customWidth="1"/>
  </cols>
  <sheetData>
    <row r="1" spans="1:18" s="55" customFormat="1" x14ac:dyDescent="0.3">
      <c r="A1" s="55" t="s">
        <v>9</v>
      </c>
      <c r="B1" s="68">
        <v>44111</v>
      </c>
      <c r="C1" s="68">
        <v>44112</v>
      </c>
      <c r="D1" s="68">
        <v>44114</v>
      </c>
      <c r="E1" s="68">
        <v>44116</v>
      </c>
      <c r="F1" s="68">
        <v>44116</v>
      </c>
      <c r="G1" s="68">
        <v>44128</v>
      </c>
      <c r="H1" s="55" t="s">
        <v>10</v>
      </c>
    </row>
    <row r="2" spans="1:18" x14ac:dyDescent="0.3">
      <c r="B2" s="37"/>
      <c r="C2" s="37"/>
      <c r="D2" s="37"/>
      <c r="E2" s="37"/>
      <c r="F2" s="37"/>
      <c r="G2" s="37"/>
      <c r="H2" s="59">
        <f>MAXA(B1:H1)</f>
        <v>44128</v>
      </c>
    </row>
    <row r="3" spans="1:18" s="46" customFormat="1" x14ac:dyDescent="0.3">
      <c r="A3" s="48" t="s">
        <v>3</v>
      </c>
      <c r="B3" s="70">
        <v>1</v>
      </c>
      <c r="C3" s="70">
        <v>1</v>
      </c>
      <c r="D3" s="70">
        <v>1</v>
      </c>
      <c r="E3" s="70">
        <v>1</v>
      </c>
      <c r="F3" s="70">
        <v>1</v>
      </c>
      <c r="G3" s="70">
        <v>1</v>
      </c>
      <c r="H3" s="61">
        <f>HLOOKUP(H$2,$B$1:$H$17,3,0)</f>
        <v>1</v>
      </c>
    </row>
    <row r="4" spans="1:18" x14ac:dyDescent="0.3">
      <c r="A4" t="s">
        <v>7</v>
      </c>
      <c r="B4" s="34">
        <v>2012171531.0999999</v>
      </c>
      <c r="C4" s="34">
        <v>1637293085.5699999</v>
      </c>
      <c r="D4" s="34">
        <v>1537746560.1800001</v>
      </c>
      <c r="E4" s="34">
        <v>1622722534</v>
      </c>
      <c r="F4" s="34">
        <v>1563424974.8</v>
      </c>
      <c r="G4" s="34">
        <v>1478497754.04</v>
      </c>
      <c r="H4" s="45">
        <f>HLOOKUP(H$2,$B$1:$H$17,4,0)</f>
        <v>1478497754.04</v>
      </c>
    </row>
    <row r="5" spans="1:18" x14ac:dyDescent="0.3">
      <c r="A5" t="s">
        <v>8</v>
      </c>
      <c r="B5" s="34">
        <v>4032</v>
      </c>
      <c r="C5" s="34">
        <v>4035</v>
      </c>
      <c r="D5" s="34">
        <v>4036</v>
      </c>
      <c r="E5" s="34">
        <v>4036</v>
      </c>
      <c r="F5" s="34">
        <v>4039</v>
      </c>
      <c r="G5" s="34">
        <v>4045</v>
      </c>
      <c r="H5" s="45">
        <f>HLOOKUP(H$2,$B$1:$H$17,5,0)</f>
        <v>4045</v>
      </c>
    </row>
    <row r="6" spans="1:18" x14ac:dyDescent="0.3">
      <c r="A6" t="s">
        <v>6</v>
      </c>
      <c r="B6" s="34">
        <v>21982840433.990002</v>
      </c>
      <c r="C6" s="34">
        <v>21895858806.740002</v>
      </c>
      <c r="D6" s="34">
        <v>21882160757.689999</v>
      </c>
      <c r="E6" s="34">
        <v>21884126518.240002</v>
      </c>
      <c r="F6" s="34">
        <v>21823987695.259998</v>
      </c>
      <c r="G6" s="34">
        <v>22011354745.330002</v>
      </c>
      <c r="H6" s="45">
        <f>HLOOKUP(H$2,$B$1:$H$17,6,0)</f>
        <v>22011354745.330002</v>
      </c>
    </row>
    <row r="7" spans="1:18" x14ac:dyDescent="0.3">
      <c r="A7" s="35" t="s">
        <v>46</v>
      </c>
      <c r="B7">
        <v>1108</v>
      </c>
      <c r="C7">
        <v>1105</v>
      </c>
      <c r="D7">
        <v>1104</v>
      </c>
      <c r="E7">
        <v>1105</v>
      </c>
      <c r="F7">
        <v>1106</v>
      </c>
      <c r="G7">
        <v>1112</v>
      </c>
      <c r="H7" s="38">
        <f>HLOOKUP(H$2,$B$1:$H$17,7,0)</f>
        <v>1112</v>
      </c>
    </row>
    <row r="8" spans="1:18" s="33" customFormat="1" x14ac:dyDescent="0.3">
      <c r="A8" s="33" t="s">
        <v>4</v>
      </c>
      <c r="B8" s="29">
        <v>0.38215700000000002</v>
      </c>
      <c r="C8" s="29">
        <v>0.38811600000000002</v>
      </c>
      <c r="D8" s="29">
        <v>0.39473599999999998</v>
      </c>
      <c r="E8" s="29">
        <v>0.38049300000000003</v>
      </c>
      <c r="F8" s="29">
        <v>0.37905899999999998</v>
      </c>
      <c r="G8" s="29">
        <v>0.40515299999999999</v>
      </c>
      <c r="H8" s="60">
        <f>HLOOKUP(H$2,$B$1:$H$17,8,0)</f>
        <v>0.40515299999999999</v>
      </c>
    </row>
    <row r="9" spans="1:18" s="33" customFormat="1" x14ac:dyDescent="0.3">
      <c r="A9" s="33" t="s">
        <v>5</v>
      </c>
      <c r="B9" s="29">
        <v>0.122114</v>
      </c>
      <c r="C9" s="29">
        <v>0.12386</v>
      </c>
      <c r="D9" s="29">
        <v>0.130554</v>
      </c>
      <c r="E9" s="29">
        <v>0.12794700000000001</v>
      </c>
      <c r="F9" s="29">
        <v>0.12672800000000001</v>
      </c>
      <c r="G9" s="29">
        <v>0.15869</v>
      </c>
      <c r="H9" s="60">
        <f>HLOOKUP(H$2,$B$1:$H$17,9,0)</f>
        <v>0.15869</v>
      </c>
    </row>
    <row r="10" spans="1:18" x14ac:dyDescent="0.3">
      <c r="A10" t="s">
        <v>11</v>
      </c>
      <c r="B10" s="34">
        <v>972384815.16999996</v>
      </c>
      <c r="C10" s="34">
        <v>1235137401.23</v>
      </c>
      <c r="D10" s="34">
        <v>1235137401.23</v>
      </c>
      <c r="E10" s="34">
        <v>1570463545.3</v>
      </c>
      <c r="F10" s="34">
        <v>1641787131.6300001</v>
      </c>
      <c r="G10" s="34">
        <v>2499651911.4000001</v>
      </c>
      <c r="H10" s="45">
        <f>HLOOKUP(H$2,$B$1:$H$17,10,0)</f>
        <v>2499651911.4000001</v>
      </c>
    </row>
    <row r="11" spans="1:18" s="15" customFormat="1" x14ac:dyDescent="0.3">
      <c r="A11" s="15" t="s">
        <v>12</v>
      </c>
      <c r="B11" s="34">
        <v>972384815.16999996</v>
      </c>
      <c r="C11" s="34">
        <v>1235137401.23</v>
      </c>
      <c r="D11" s="34">
        <v>1235137401.23</v>
      </c>
      <c r="E11" s="34">
        <v>1570463545.3</v>
      </c>
      <c r="F11" s="34">
        <v>1641787131.6300001</v>
      </c>
      <c r="G11" s="34">
        <v>2499651911.4000001</v>
      </c>
      <c r="H11" s="45">
        <f>HLOOKUP(H$2,$B$1:$H$17,11,0)</f>
        <v>2499651911.4000001</v>
      </c>
    </row>
    <row r="12" spans="1:18" s="49" customFormat="1" x14ac:dyDescent="0.3">
      <c r="A12" s="50" t="s">
        <v>37</v>
      </c>
      <c r="B12" s="71">
        <v>0</v>
      </c>
      <c r="C12" s="71">
        <v>0</v>
      </c>
      <c r="D12" s="71">
        <v>0</v>
      </c>
      <c r="E12" s="71">
        <v>0</v>
      </c>
      <c r="F12" s="71">
        <v>0</v>
      </c>
      <c r="G12" s="71">
        <v>0</v>
      </c>
      <c r="H12" s="45">
        <f>HLOOKUP(H$2,$B$1:$H$17,12,0)</f>
        <v>0</v>
      </c>
      <c r="I12" s="51"/>
      <c r="J12" s="51"/>
      <c r="K12" s="51"/>
      <c r="L12" s="51"/>
      <c r="M12" s="51"/>
      <c r="N12" s="51"/>
      <c r="O12" s="51"/>
      <c r="P12" s="51"/>
      <c r="Q12" s="51"/>
      <c r="R12" s="51"/>
    </row>
    <row r="13" spans="1:18" s="46" customFormat="1" x14ac:dyDescent="0.3">
      <c r="A13" s="52" t="s">
        <v>3</v>
      </c>
      <c r="B13" s="61">
        <v>2</v>
      </c>
      <c r="C13" s="61">
        <v>2</v>
      </c>
      <c r="D13" s="61">
        <v>2</v>
      </c>
      <c r="E13" s="61">
        <v>2</v>
      </c>
      <c r="F13" s="61">
        <v>2</v>
      </c>
      <c r="G13" s="61">
        <v>2</v>
      </c>
      <c r="H13" s="62">
        <f>HLOOKUP(H$2,$B$1:$H$17,13,0)</f>
        <v>2</v>
      </c>
      <c r="I13" s="53"/>
      <c r="J13" s="53"/>
      <c r="K13" s="53"/>
      <c r="L13" s="53"/>
      <c r="M13" s="53"/>
      <c r="N13" s="53"/>
      <c r="O13" s="53"/>
      <c r="P13" s="53"/>
      <c r="Q13" s="53"/>
      <c r="R13" s="53"/>
    </row>
    <row r="14" spans="1:18" x14ac:dyDescent="0.3">
      <c r="A14" t="s">
        <v>7</v>
      </c>
      <c r="B14" s="34">
        <v>36545901623.739998</v>
      </c>
      <c r="C14" s="34">
        <v>36782875499.040001</v>
      </c>
      <c r="D14" s="34">
        <v>36845462849.389999</v>
      </c>
      <c r="E14" s="34">
        <v>36861522960.07</v>
      </c>
      <c r="F14" s="34">
        <v>36938067245.470001</v>
      </c>
      <c r="G14" s="34">
        <v>37060397015.269997</v>
      </c>
      <c r="H14" s="45">
        <f>HLOOKUP(H$2,$B$1:$H$17,14,0)</f>
        <v>37060397015.269997</v>
      </c>
    </row>
    <row r="15" spans="1:18" x14ac:dyDescent="0.3">
      <c r="A15" t="s">
        <v>8</v>
      </c>
      <c r="B15" s="34">
        <v>5290</v>
      </c>
      <c r="C15" s="34">
        <v>5298</v>
      </c>
      <c r="D15" s="34">
        <v>5299</v>
      </c>
      <c r="E15" s="34">
        <v>5302</v>
      </c>
      <c r="F15" s="34">
        <v>5306</v>
      </c>
      <c r="G15" s="34">
        <v>5332</v>
      </c>
      <c r="H15" s="87">
        <f>HLOOKUP(H$2,$B$1:$H$17,15,0)</f>
        <v>5332</v>
      </c>
    </row>
    <row r="16" spans="1:18" x14ac:dyDescent="0.3">
      <c r="A16" t="s">
        <v>6</v>
      </c>
      <c r="B16" s="34">
        <v>37261447423.989998</v>
      </c>
      <c r="C16" s="34">
        <v>37481789776.160004</v>
      </c>
      <c r="D16" s="34">
        <v>37558879786.349998</v>
      </c>
      <c r="E16" s="34">
        <v>37651750015.160004</v>
      </c>
      <c r="F16" s="34">
        <v>37728713718.230003</v>
      </c>
      <c r="G16" s="34">
        <v>37949769142.360001</v>
      </c>
      <c r="H16" s="45">
        <f>HLOOKUP(H$2,$B$1:$H$17,16,0)</f>
        <v>37949769142.360001</v>
      </c>
    </row>
    <row r="17" spans="1:8" x14ac:dyDescent="0.3">
      <c r="A17" s="35" t="s">
        <v>46</v>
      </c>
      <c r="B17" s="34">
        <v>1628</v>
      </c>
      <c r="C17" s="34">
        <v>1633</v>
      </c>
      <c r="D17" s="34">
        <v>1637</v>
      </c>
      <c r="E17" s="34">
        <v>1642</v>
      </c>
      <c r="F17" s="34">
        <v>1646</v>
      </c>
      <c r="G17" s="34">
        <v>1657</v>
      </c>
      <c r="H17" s="56">
        <f>HLOOKUP(H$2,$B$1:$H$22,17,0)</f>
        <v>1657</v>
      </c>
    </row>
    <row r="18" spans="1:8" s="33" customFormat="1" x14ac:dyDescent="0.3">
      <c r="A18" s="33" t="s">
        <v>4</v>
      </c>
      <c r="B18" s="29">
        <v>0.39369300000000002</v>
      </c>
      <c r="C18" s="29">
        <v>0.38795400000000002</v>
      </c>
      <c r="D18" s="29">
        <v>0.39696700000000001</v>
      </c>
      <c r="E18" s="29">
        <v>0.39693400000000001</v>
      </c>
      <c r="F18" s="29">
        <v>0.38350200000000001</v>
      </c>
      <c r="G18" s="29">
        <v>0.439251</v>
      </c>
      <c r="H18" s="57">
        <f>HLOOKUP(H$2,$B$1:$H$22,18,0)</f>
        <v>0.439251</v>
      </c>
    </row>
    <row r="19" spans="1:8" s="33" customFormat="1" x14ac:dyDescent="0.3">
      <c r="A19" s="33" t="s">
        <v>5</v>
      </c>
      <c r="B19" s="29">
        <v>0.118937</v>
      </c>
      <c r="C19" s="29">
        <v>0.125419</v>
      </c>
      <c r="D19" s="29">
        <v>0.14224700000000001</v>
      </c>
      <c r="E19" s="29">
        <v>0.140456</v>
      </c>
      <c r="F19" s="29">
        <v>0.13911399999999999</v>
      </c>
      <c r="G19" s="29">
        <v>0.17343</v>
      </c>
      <c r="H19" s="57">
        <f>HLOOKUP(H$2,$B$1:$H$22,19,0)</f>
        <v>0.17343</v>
      </c>
    </row>
    <row r="20" spans="1:8" s="15" customFormat="1" x14ac:dyDescent="0.3">
      <c r="A20" t="s">
        <v>11</v>
      </c>
      <c r="B20" s="58">
        <v>538554726.26999998</v>
      </c>
      <c r="C20" s="58">
        <v>1455806813.4300001</v>
      </c>
      <c r="D20" s="58">
        <v>1549806813.4300001</v>
      </c>
      <c r="E20" s="58">
        <v>1800625894.3499999</v>
      </c>
      <c r="F20" s="58">
        <v>1912807061.5999999</v>
      </c>
      <c r="G20" s="58">
        <v>2920497529.96</v>
      </c>
      <c r="H20" s="45">
        <f>HLOOKUP(H$2,$B$1:$H$22,20,0)</f>
        <v>2920497529.96</v>
      </c>
    </row>
    <row r="21" spans="1:8" s="15" customFormat="1" x14ac:dyDescent="0.3">
      <c r="A21" s="15" t="s">
        <v>12</v>
      </c>
      <c r="B21" s="58">
        <v>538554726.26999998</v>
      </c>
      <c r="C21" s="58">
        <v>1455806813.4300001</v>
      </c>
      <c r="D21" s="58">
        <v>1549806813.4300001</v>
      </c>
      <c r="E21" s="58">
        <v>1800625894.3499999</v>
      </c>
      <c r="F21" s="58">
        <v>1912807061.5999999</v>
      </c>
      <c r="G21" s="58">
        <v>2920497529.96</v>
      </c>
      <c r="H21" s="45">
        <f>HLOOKUP(H$2,$B$1:$H$22,21,0)</f>
        <v>2920497529.96</v>
      </c>
    </row>
    <row r="22" spans="1:8" s="14" customFormat="1" x14ac:dyDescent="0.3">
      <c r="A22" s="15" t="s">
        <v>37</v>
      </c>
      <c r="B22" s="34">
        <v>0</v>
      </c>
      <c r="C22" s="34">
        <v>0</v>
      </c>
      <c r="D22" s="34">
        <v>0</v>
      </c>
      <c r="E22" s="34">
        <v>0</v>
      </c>
      <c r="F22" s="34">
        <v>0</v>
      </c>
      <c r="G22" s="34">
        <v>0</v>
      </c>
      <c r="H22" s="45">
        <f>HLOOKUP(H$2,$B$1:$H$22,22,0)</f>
        <v>0</v>
      </c>
    </row>
    <row r="23" spans="1:8" hidden="1" x14ac:dyDescent="0.3">
      <c r="A23" s="14" t="s">
        <v>3</v>
      </c>
      <c r="B23" s="34"/>
      <c r="C23" s="34"/>
      <c r="D23" s="34"/>
      <c r="E23" s="34"/>
      <c r="F23" s="34"/>
      <c r="G23" s="34"/>
    </row>
    <row r="24" spans="1:8" hidden="1" x14ac:dyDescent="0.3">
      <c r="A24" t="s">
        <v>7</v>
      </c>
      <c r="B24" s="34"/>
      <c r="C24" s="34"/>
      <c r="D24" s="34"/>
      <c r="E24" s="34"/>
      <c r="F24" s="34"/>
      <c r="G24" s="34"/>
    </row>
    <row r="25" spans="1:8" hidden="1" x14ac:dyDescent="0.3">
      <c r="A25" t="s">
        <v>8</v>
      </c>
      <c r="B25" s="34"/>
      <c r="C25" s="34"/>
      <c r="D25" s="34"/>
      <c r="E25" s="34"/>
      <c r="F25" s="34"/>
      <c r="G25" s="34"/>
    </row>
    <row r="26" spans="1:8" hidden="1" x14ac:dyDescent="0.3">
      <c r="A26" t="s">
        <v>6</v>
      </c>
      <c r="B26" s="34"/>
      <c r="C26" s="34"/>
      <c r="D26" s="34"/>
      <c r="E26" s="34"/>
      <c r="F26" s="34"/>
      <c r="G26" s="34"/>
    </row>
    <row r="27" spans="1:8" hidden="1" x14ac:dyDescent="0.3">
      <c r="A27" t="s">
        <v>4</v>
      </c>
      <c r="B27" s="34"/>
      <c r="C27" s="34"/>
      <c r="D27" s="34"/>
      <c r="E27" s="34"/>
      <c r="F27" s="34"/>
      <c r="G27" s="34"/>
    </row>
    <row r="28" spans="1:8" hidden="1" x14ac:dyDescent="0.3">
      <c r="A28" t="s">
        <v>5</v>
      </c>
      <c r="B28" s="34"/>
      <c r="C28" s="34"/>
      <c r="D28" s="34"/>
      <c r="E28" s="34"/>
      <c r="F28" s="34"/>
      <c r="G28" s="34"/>
    </row>
    <row r="29" spans="1:8" s="15" customFormat="1" hidden="1" x14ac:dyDescent="0.3">
      <c r="A29" t="s">
        <v>11</v>
      </c>
      <c r="B29" s="34"/>
      <c r="C29" s="34"/>
      <c r="D29" s="34"/>
      <c r="E29" s="34"/>
      <c r="F29" s="34"/>
      <c r="G29" s="34"/>
    </row>
    <row r="30" spans="1:8" s="15" customFormat="1" hidden="1" x14ac:dyDescent="0.3">
      <c r="A30" s="15" t="s">
        <v>12</v>
      </c>
      <c r="B30" s="34"/>
      <c r="C30" s="34"/>
      <c r="D30" s="34"/>
      <c r="E30" s="34"/>
      <c r="F30" s="34"/>
      <c r="G30" s="34"/>
    </row>
    <row r="31" spans="1:8" s="14" customFormat="1" hidden="1" x14ac:dyDescent="0.3">
      <c r="A31" s="15" t="s">
        <v>37</v>
      </c>
      <c r="B31" s="69"/>
      <c r="C31" s="69"/>
      <c r="D31" s="69"/>
      <c r="E31" s="69"/>
      <c r="F31" s="69"/>
      <c r="G31" s="69"/>
    </row>
    <row r="32" spans="1:8" hidden="1" x14ac:dyDescent="0.3">
      <c r="A32" s="14" t="s">
        <v>3</v>
      </c>
      <c r="B32" s="34"/>
      <c r="C32" s="34"/>
      <c r="D32" s="34"/>
      <c r="E32" s="34"/>
      <c r="F32" s="34"/>
      <c r="G32" s="34"/>
    </row>
    <row r="33" spans="1:7" hidden="1" x14ac:dyDescent="0.3">
      <c r="A33" t="s">
        <v>7</v>
      </c>
      <c r="B33" s="34"/>
      <c r="C33" s="34"/>
      <c r="D33" s="34"/>
      <c r="E33" s="34"/>
      <c r="F33" s="34"/>
      <c r="G33" s="34"/>
    </row>
    <row r="34" spans="1:7" hidden="1" x14ac:dyDescent="0.3">
      <c r="A34" t="s">
        <v>8</v>
      </c>
      <c r="B34" s="34"/>
      <c r="C34" s="34"/>
      <c r="D34" s="34"/>
      <c r="E34" s="34"/>
      <c r="F34" s="34"/>
      <c r="G34" s="34"/>
    </row>
    <row r="35" spans="1:7" hidden="1" x14ac:dyDescent="0.3">
      <c r="A35" t="s">
        <v>6</v>
      </c>
      <c r="B35" s="34"/>
      <c r="C35" s="34"/>
      <c r="D35" s="34"/>
      <c r="E35" s="34"/>
      <c r="F35" s="34"/>
      <c r="G35" s="34"/>
    </row>
    <row r="36" spans="1:7" hidden="1" x14ac:dyDescent="0.3">
      <c r="A36" t="s">
        <v>4</v>
      </c>
      <c r="B36" s="34"/>
      <c r="C36" s="34"/>
      <c r="D36" s="34"/>
      <c r="E36" s="34"/>
      <c r="F36" s="34"/>
      <c r="G36" s="34"/>
    </row>
    <row r="37" spans="1:7" hidden="1" x14ac:dyDescent="0.3">
      <c r="A37" t="s">
        <v>5</v>
      </c>
      <c r="B37" s="34"/>
      <c r="C37" s="34"/>
      <c r="D37" s="34"/>
      <c r="E37" s="34"/>
      <c r="F37" s="34"/>
      <c r="G37" s="34"/>
    </row>
    <row r="38" spans="1:7" s="15" customFormat="1" hidden="1" x14ac:dyDescent="0.3">
      <c r="A38" t="s">
        <v>11</v>
      </c>
      <c r="B38" s="34"/>
      <c r="C38" s="34"/>
      <c r="D38" s="34"/>
      <c r="E38" s="34"/>
      <c r="F38" s="34"/>
      <c r="G38" s="34"/>
    </row>
    <row r="39" spans="1:7" s="15" customFormat="1" hidden="1" x14ac:dyDescent="0.3">
      <c r="A39" s="15" t="s">
        <v>12</v>
      </c>
      <c r="B39" s="34"/>
      <c r="C39" s="34"/>
      <c r="D39" s="34"/>
      <c r="E39" s="34"/>
      <c r="F39" s="34"/>
      <c r="G39" s="34"/>
    </row>
    <row r="40" spans="1:7" s="14" customFormat="1" hidden="1" x14ac:dyDescent="0.3">
      <c r="A40" s="15" t="s">
        <v>37</v>
      </c>
      <c r="B40" s="69"/>
      <c r="C40" s="69"/>
      <c r="D40" s="69"/>
      <c r="E40" s="69"/>
      <c r="F40" s="69"/>
      <c r="G40" s="69"/>
    </row>
    <row r="41" spans="1:7" hidden="1" x14ac:dyDescent="0.3">
      <c r="A41" s="14" t="s">
        <v>3</v>
      </c>
      <c r="B41" s="34"/>
      <c r="C41" s="34"/>
      <c r="D41" s="34"/>
      <c r="E41" s="34"/>
      <c r="F41" s="34"/>
      <c r="G41" s="34"/>
    </row>
    <row r="42" spans="1:7" hidden="1" x14ac:dyDescent="0.3">
      <c r="A42" t="s">
        <v>7</v>
      </c>
      <c r="B42" s="34"/>
      <c r="C42" s="34"/>
      <c r="D42" s="34"/>
      <c r="E42" s="34"/>
      <c r="F42" s="34"/>
      <c r="G42" s="34"/>
    </row>
    <row r="43" spans="1:7" hidden="1" x14ac:dyDescent="0.3">
      <c r="A43" t="s">
        <v>8</v>
      </c>
      <c r="B43" s="34"/>
      <c r="C43" s="34"/>
      <c r="D43" s="34"/>
      <c r="E43" s="34"/>
      <c r="F43" s="34"/>
      <c r="G43" s="34"/>
    </row>
    <row r="44" spans="1:7" hidden="1" x14ac:dyDescent="0.3">
      <c r="A44" t="s">
        <v>6</v>
      </c>
      <c r="B44" s="34"/>
      <c r="C44" s="34"/>
      <c r="D44" s="34"/>
      <c r="E44" s="34"/>
      <c r="F44" s="34"/>
      <c r="G44" s="34"/>
    </row>
    <row r="45" spans="1:7" hidden="1" x14ac:dyDescent="0.3">
      <c r="A45" t="s">
        <v>4</v>
      </c>
      <c r="B45" s="34"/>
      <c r="C45" s="34"/>
      <c r="D45" s="34"/>
      <c r="E45" s="34"/>
      <c r="F45" s="34"/>
      <c r="G45" s="34"/>
    </row>
    <row r="46" spans="1:7" hidden="1" x14ac:dyDescent="0.3">
      <c r="A46" t="s">
        <v>5</v>
      </c>
      <c r="B46" s="34"/>
      <c r="C46" s="34"/>
      <c r="D46" s="34"/>
      <c r="E46" s="34"/>
      <c r="F46" s="34"/>
      <c r="G46" s="34"/>
    </row>
    <row r="47" spans="1:7" s="15" customFormat="1" hidden="1" x14ac:dyDescent="0.3">
      <c r="A47" t="s">
        <v>11</v>
      </c>
      <c r="B47" s="34"/>
      <c r="C47" s="34"/>
      <c r="D47" s="34"/>
      <c r="E47" s="34"/>
      <c r="F47" s="34"/>
      <c r="G47" s="34"/>
    </row>
    <row r="48" spans="1:7" s="15" customFormat="1" hidden="1" x14ac:dyDescent="0.3">
      <c r="A48" s="15" t="s">
        <v>12</v>
      </c>
      <c r="B48" s="34"/>
      <c r="C48" s="34"/>
      <c r="D48" s="34"/>
      <c r="E48" s="34"/>
      <c r="F48" s="34"/>
      <c r="G48" s="34"/>
    </row>
    <row r="49" spans="1:7" s="14" customFormat="1" hidden="1" x14ac:dyDescent="0.3">
      <c r="A49" s="15" t="s">
        <v>37</v>
      </c>
      <c r="B49" s="69"/>
      <c r="C49" s="69"/>
      <c r="D49" s="69"/>
      <c r="E49" s="69"/>
      <c r="F49" s="69"/>
      <c r="G49" s="69"/>
    </row>
    <row r="50" spans="1:7" hidden="1" x14ac:dyDescent="0.3">
      <c r="A50" s="14" t="s">
        <v>3</v>
      </c>
      <c r="B50" s="34"/>
      <c r="C50" s="34"/>
      <c r="D50" s="34"/>
      <c r="E50" s="34"/>
      <c r="F50" s="34"/>
      <c r="G50" s="34"/>
    </row>
    <row r="51" spans="1:7" hidden="1" x14ac:dyDescent="0.3">
      <c r="A51" t="s">
        <v>7</v>
      </c>
      <c r="B51" s="34"/>
      <c r="C51" s="34"/>
      <c r="D51" s="34"/>
      <c r="E51" s="34"/>
      <c r="F51" s="34"/>
      <c r="G51" s="34"/>
    </row>
    <row r="52" spans="1:7" hidden="1" x14ac:dyDescent="0.3">
      <c r="A52" t="s">
        <v>8</v>
      </c>
      <c r="B52" s="34"/>
      <c r="C52" s="34"/>
      <c r="D52" s="34"/>
      <c r="E52" s="34"/>
      <c r="F52" s="34"/>
      <c r="G52" s="34"/>
    </row>
    <row r="53" spans="1:7" hidden="1" x14ac:dyDescent="0.3">
      <c r="A53" t="s">
        <v>6</v>
      </c>
      <c r="B53" s="34"/>
      <c r="C53" s="34"/>
      <c r="D53" s="34"/>
      <c r="E53" s="34"/>
      <c r="F53" s="34"/>
      <c r="G53" s="34"/>
    </row>
    <row r="54" spans="1:7" hidden="1" x14ac:dyDescent="0.3">
      <c r="A54" t="s">
        <v>4</v>
      </c>
      <c r="B54" s="34"/>
      <c r="C54" s="34"/>
      <c r="D54" s="34"/>
      <c r="E54" s="34"/>
      <c r="F54" s="34"/>
      <c r="G54" s="34"/>
    </row>
    <row r="55" spans="1:7" hidden="1" x14ac:dyDescent="0.3">
      <c r="A55" t="s">
        <v>5</v>
      </c>
      <c r="B55" s="34"/>
      <c r="C55" s="34"/>
      <c r="D55" s="34"/>
      <c r="E55" s="34"/>
      <c r="F55" s="34"/>
      <c r="G55" s="34"/>
    </row>
    <row r="56" spans="1:7" s="15" customFormat="1" hidden="1" x14ac:dyDescent="0.3">
      <c r="A56" t="s">
        <v>11</v>
      </c>
      <c r="B56" s="34"/>
      <c r="C56" s="34"/>
      <c r="D56" s="34"/>
      <c r="E56" s="34"/>
      <c r="F56" s="34"/>
      <c r="G56" s="34"/>
    </row>
    <row r="57" spans="1:7" s="15" customFormat="1" hidden="1" x14ac:dyDescent="0.3">
      <c r="A57" s="15" t="s">
        <v>12</v>
      </c>
      <c r="B57" s="34"/>
      <c r="C57" s="34"/>
      <c r="D57" s="34"/>
      <c r="E57" s="34"/>
      <c r="F57" s="34"/>
      <c r="G57" s="34"/>
    </row>
    <row r="58" spans="1:7" s="14" customFormat="1" hidden="1" x14ac:dyDescent="0.3">
      <c r="A58" s="15" t="s">
        <v>37</v>
      </c>
      <c r="B58" s="69"/>
      <c r="C58" s="69"/>
      <c r="D58" s="69"/>
      <c r="E58" s="69"/>
      <c r="F58" s="69"/>
      <c r="G58" s="69"/>
    </row>
    <row r="59" spans="1:7" hidden="1" x14ac:dyDescent="0.3">
      <c r="A59" s="14" t="s">
        <v>3</v>
      </c>
      <c r="B59" s="34"/>
      <c r="C59" s="34"/>
      <c r="D59" s="34"/>
      <c r="E59" s="34"/>
      <c r="F59" s="34"/>
      <c r="G59" s="34"/>
    </row>
    <row r="60" spans="1:7" hidden="1" x14ac:dyDescent="0.3">
      <c r="A60" t="s">
        <v>7</v>
      </c>
      <c r="B60" s="34"/>
      <c r="C60" s="34"/>
      <c r="D60" s="34"/>
      <c r="E60" s="34"/>
      <c r="F60" s="34"/>
      <c r="G60" s="34"/>
    </row>
    <row r="61" spans="1:7" hidden="1" x14ac:dyDescent="0.3">
      <c r="A61" t="s">
        <v>8</v>
      </c>
      <c r="B61" s="34"/>
      <c r="C61" s="34"/>
      <c r="D61" s="34"/>
      <c r="E61" s="34"/>
      <c r="F61" s="34"/>
      <c r="G61" s="34"/>
    </row>
    <row r="62" spans="1:7" hidden="1" x14ac:dyDescent="0.3">
      <c r="A62" t="s">
        <v>6</v>
      </c>
      <c r="B62" s="34"/>
      <c r="C62" s="34"/>
      <c r="D62" s="34"/>
      <c r="E62" s="34"/>
      <c r="F62" s="34"/>
      <c r="G62" s="34"/>
    </row>
    <row r="63" spans="1:7" hidden="1" x14ac:dyDescent="0.3">
      <c r="A63" t="s">
        <v>4</v>
      </c>
      <c r="B63" s="34"/>
      <c r="C63" s="34"/>
      <c r="D63" s="34"/>
      <c r="E63" s="34"/>
      <c r="F63" s="34"/>
      <c r="G63" s="34"/>
    </row>
    <row r="64" spans="1:7" hidden="1" x14ac:dyDescent="0.3">
      <c r="A64" t="s">
        <v>5</v>
      </c>
      <c r="B64" s="34"/>
      <c r="C64" s="34"/>
      <c r="D64" s="34"/>
      <c r="E64" s="34"/>
      <c r="F64" s="34"/>
      <c r="G64" s="34"/>
    </row>
    <row r="65" spans="1:8" s="15" customFormat="1" hidden="1" x14ac:dyDescent="0.3">
      <c r="A65" t="s">
        <v>11</v>
      </c>
      <c r="B65" s="34"/>
      <c r="C65" s="34"/>
      <c r="D65" s="34"/>
      <c r="E65" s="34"/>
      <c r="F65" s="34"/>
      <c r="G65" s="34"/>
    </row>
    <row r="66" spans="1:8" hidden="1" x14ac:dyDescent="0.3">
      <c r="A66" s="15" t="s">
        <v>12</v>
      </c>
      <c r="B66" s="34"/>
      <c r="C66" s="34"/>
      <c r="D66" s="34"/>
      <c r="E66" s="34"/>
      <c r="F66" s="34"/>
      <c r="G66" s="34"/>
    </row>
    <row r="67" spans="1:8" hidden="1" x14ac:dyDescent="0.3">
      <c r="A67" t="s">
        <v>37</v>
      </c>
      <c r="B67" s="34"/>
      <c r="C67" s="34"/>
      <c r="D67" s="34"/>
      <c r="E67" s="34"/>
      <c r="F67" s="34"/>
      <c r="G67" s="34"/>
    </row>
    <row r="68" spans="1:8" x14ac:dyDescent="0.3">
      <c r="A68" s="47"/>
      <c r="B68" s="47"/>
      <c r="C68" s="47"/>
      <c r="D68" s="47"/>
      <c r="E68" s="47"/>
      <c r="F68" s="47"/>
      <c r="G68" s="47"/>
      <c r="H68" s="47"/>
    </row>
  </sheetData>
  <pageMargins left="0.70866141732283472" right="0.70866141732283472" top="0.74803149606299213" bottom="0.74803149606299213" header="0.31496062992125984" footer="0.31496062992125984"/>
  <pageSetup paperSize="9" scale="17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B1:AB45"/>
  <sheetViews>
    <sheetView showWhiteSpace="0" view="pageBreakPreview" zoomScaleNormal="100" zoomScaleSheetLayoutView="100" zoomScalePageLayoutView="70" workbookViewId="0">
      <selection activeCell="J36" sqref="J36:K36"/>
    </sheetView>
  </sheetViews>
  <sheetFormatPr defaultColWidth="9.109375" defaultRowHeight="14.4" x14ac:dyDescent="0.3"/>
  <cols>
    <col min="1" max="1" width="1.6640625" customWidth="1"/>
    <col min="10" max="14" width="9.109375" customWidth="1"/>
    <col min="16" max="18" width="9.109375" customWidth="1"/>
    <col min="19" max="19" width="3.44140625" customWidth="1"/>
    <col min="20" max="20" width="9.109375" customWidth="1"/>
    <col min="21" max="21" width="4.88671875" customWidth="1"/>
    <col min="22" max="23" width="9.109375" customWidth="1"/>
    <col min="25" max="25" width="14.88671875" bestFit="1" customWidth="1"/>
    <col min="28" max="28" width="1.6640625" customWidth="1"/>
    <col min="30" max="30" width="13.44140625" bestFit="1" customWidth="1"/>
  </cols>
  <sheetData>
    <row r="1" spans="6:15" x14ac:dyDescent="0.3">
      <c r="M1" t="s">
        <v>25</v>
      </c>
      <c r="N1" s="118">
        <f>MAX(DailyReportTotal!B1:AM1)</f>
        <v>44128</v>
      </c>
      <c r="O1" s="118"/>
    </row>
    <row r="2" spans="6:15" x14ac:dyDescent="0.3">
      <c r="F2">
        <v>43</v>
      </c>
    </row>
    <row r="33" spans="2:28" ht="15" thickBot="1" x14ac:dyDescent="0.35"/>
    <row r="34" spans="2:28" x14ac:dyDescent="0.3">
      <c r="B34" s="121" t="s">
        <v>9</v>
      </c>
      <c r="C34" s="122"/>
      <c r="D34" s="122" t="s">
        <v>43</v>
      </c>
      <c r="E34" s="122"/>
      <c r="F34" s="123" t="s">
        <v>31</v>
      </c>
      <c r="G34" s="124"/>
      <c r="H34" s="123" t="s">
        <v>44</v>
      </c>
      <c r="I34" s="124"/>
      <c r="J34" s="123" t="s">
        <v>32</v>
      </c>
      <c r="K34" s="124"/>
      <c r="L34" s="123" t="s">
        <v>8</v>
      </c>
      <c r="M34" s="124"/>
      <c r="N34" s="123" t="s">
        <v>48</v>
      </c>
      <c r="O34" s="124"/>
      <c r="P34" s="123" t="s">
        <v>33</v>
      </c>
      <c r="Q34" s="124"/>
      <c r="R34" s="123" t="s">
        <v>4</v>
      </c>
      <c r="S34" s="124"/>
      <c r="T34" s="123" t="s">
        <v>5</v>
      </c>
      <c r="U34" s="124"/>
      <c r="V34" s="82" t="s">
        <v>141</v>
      </c>
      <c r="W34" s="123" t="s">
        <v>34</v>
      </c>
      <c r="X34" s="124"/>
      <c r="Y34" s="82" t="s">
        <v>142</v>
      </c>
      <c r="Z34" s="131" t="s">
        <v>35</v>
      </c>
      <c r="AA34" s="132"/>
      <c r="AB34" s="85"/>
    </row>
    <row r="35" spans="2:28" ht="15" thickBot="1" x14ac:dyDescent="0.35">
      <c r="B35" s="119">
        <f>DailyReportTotal!H2</f>
        <v>44128</v>
      </c>
      <c r="C35" s="120"/>
      <c r="D35" s="125">
        <f>DailyReportTotal!H3</f>
        <v>3780657682.2600002</v>
      </c>
      <c r="E35" s="126"/>
      <c r="F35" s="127">
        <f>DailyReportTotal!H4</f>
        <v>18701</v>
      </c>
      <c r="G35" s="128"/>
      <c r="H35" s="127">
        <f>DailyReportTotal!H5</f>
        <v>1300000000</v>
      </c>
      <c r="I35" s="128"/>
      <c r="J35" s="127">
        <f>DailyReportTotal!H8</f>
        <v>38538894769.309998</v>
      </c>
      <c r="K35" s="128"/>
      <c r="L35" s="127">
        <f>DailyReportTotal!H9</f>
        <v>9377</v>
      </c>
      <c r="M35" s="128"/>
      <c r="N35" s="127">
        <f>DailyReportTotal!H11</f>
        <v>2769</v>
      </c>
      <c r="O35" s="128"/>
      <c r="P35" s="127">
        <f>DailyReportTotal!H10</f>
        <v>59961123887.690002</v>
      </c>
      <c r="Q35" s="128"/>
      <c r="R35" s="129">
        <f>DailyReportTotal!H12</f>
        <v>0.44554700000000003</v>
      </c>
      <c r="S35" s="130"/>
      <c r="T35" s="129">
        <f>DailyReportTotal!H13</f>
        <v>0.168019</v>
      </c>
      <c r="U35" s="130"/>
      <c r="V35" s="83">
        <f>DailyReportTotal!H14</f>
        <v>1.8117999999999999E-2</v>
      </c>
      <c r="W35" s="127">
        <f>DailyReportTotal!H15</f>
        <v>5420149441.3599997</v>
      </c>
      <c r="X35" s="128"/>
      <c r="Y35" s="84">
        <f>DailyReportTotal!H16</f>
        <v>196</v>
      </c>
      <c r="Z35" s="127">
        <f>DailyReportTotal!H17</f>
        <v>1865555248.1299996</v>
      </c>
      <c r="AA35" s="133"/>
      <c r="AB35" s="86"/>
    </row>
    <row r="36" spans="2:28" x14ac:dyDescent="0.3">
      <c r="B36" s="134" t="s">
        <v>133</v>
      </c>
      <c r="C36" s="135"/>
      <c r="D36" s="136"/>
      <c r="E36" s="137"/>
      <c r="F36" s="137"/>
      <c r="G36" s="137"/>
      <c r="H36" s="137"/>
      <c r="I36" s="138"/>
      <c r="J36" s="139">
        <v>26640000000</v>
      </c>
      <c r="K36" s="140"/>
      <c r="L36" s="141">
        <v>18250</v>
      </c>
      <c r="M36" s="141"/>
      <c r="N36" s="141">
        <v>1700</v>
      </c>
      <c r="O36" s="141"/>
      <c r="P36" s="141">
        <v>57000000000</v>
      </c>
      <c r="Q36" s="141"/>
      <c r="R36" s="142">
        <v>0.15</v>
      </c>
      <c r="S36" s="142"/>
      <c r="T36" s="142">
        <v>0.05</v>
      </c>
      <c r="U36" s="142"/>
      <c r="V36" s="78">
        <v>0.01</v>
      </c>
      <c r="W36" s="141">
        <v>8000000000</v>
      </c>
      <c r="X36" s="141"/>
      <c r="Y36" s="77">
        <v>280</v>
      </c>
      <c r="Z36" s="141">
        <v>300000000</v>
      </c>
      <c r="AA36" s="143"/>
      <c r="AB36" s="86"/>
    </row>
    <row r="37" spans="2:28" ht="15" customHeight="1" x14ac:dyDescent="0.35">
      <c r="B37" s="144" t="s">
        <v>134</v>
      </c>
      <c r="C37" s="145"/>
      <c r="D37" s="146"/>
      <c r="E37" s="147"/>
      <c r="F37" s="147"/>
      <c r="G37" s="147"/>
      <c r="H37" s="147"/>
      <c r="I37" s="148"/>
      <c r="J37" s="149">
        <f>J36-J35</f>
        <v>-11898894769.309998</v>
      </c>
      <c r="K37" s="150"/>
      <c r="L37" s="150">
        <f>L36-L35</f>
        <v>8873</v>
      </c>
      <c r="M37" s="150"/>
      <c r="N37" s="150">
        <f>N36-N35</f>
        <v>-1069</v>
      </c>
      <c r="O37" s="150"/>
      <c r="P37" s="150">
        <f>P36-P35</f>
        <v>-2961123887.6900024</v>
      </c>
      <c r="Q37" s="150"/>
      <c r="R37" s="151">
        <f>R35-R36</f>
        <v>0.295547</v>
      </c>
      <c r="S37" s="151"/>
      <c r="T37" s="151">
        <f>T35-T36</f>
        <v>0.118019</v>
      </c>
      <c r="U37" s="151"/>
      <c r="V37" s="88">
        <f>V35-V36</f>
        <v>8.1179999999999985E-3</v>
      </c>
      <c r="W37" s="150">
        <f>W36-W35</f>
        <v>2579850558.6400003</v>
      </c>
      <c r="X37" s="150"/>
      <c r="Y37" s="76">
        <f>Y36-Y35</f>
        <v>84</v>
      </c>
      <c r="Z37" s="150">
        <f>Z36-Z35</f>
        <v>-1565555248.1299996</v>
      </c>
      <c r="AA37" s="152"/>
      <c r="AB37" s="86"/>
    </row>
    <row r="38" spans="2:28" ht="15.75" customHeight="1" thickBot="1" x14ac:dyDescent="0.4">
      <c r="B38" s="153" t="s">
        <v>135</v>
      </c>
      <c r="C38" s="154"/>
      <c r="D38" s="155"/>
      <c r="E38" s="156"/>
      <c r="F38" s="156"/>
      <c r="G38" s="156"/>
      <c r="H38" s="156"/>
      <c r="I38" s="157"/>
      <c r="J38" s="158">
        <f>J35/J36</f>
        <v>1.446655209058183</v>
      </c>
      <c r="K38" s="159"/>
      <c r="L38" s="159">
        <f>L35/L36</f>
        <v>0.51380821917808217</v>
      </c>
      <c r="M38" s="159"/>
      <c r="N38" s="159">
        <f>N35/N36</f>
        <v>1.6288235294117648</v>
      </c>
      <c r="O38" s="159"/>
      <c r="P38" s="159">
        <f>P35/P36</f>
        <v>1.0519495418892983</v>
      </c>
      <c r="Q38" s="159"/>
      <c r="R38" s="160"/>
      <c r="S38" s="160"/>
      <c r="T38" s="160"/>
      <c r="U38" s="160"/>
      <c r="V38" s="75"/>
      <c r="W38" s="159">
        <f>W35/W36</f>
        <v>0.67751868016999994</v>
      </c>
      <c r="X38" s="159"/>
      <c r="Y38" s="89">
        <f>Y35/Y36</f>
        <v>0.7</v>
      </c>
      <c r="Z38" s="159">
        <f>Z35/Z36</f>
        <v>6.2185174937666652</v>
      </c>
      <c r="AA38" s="161"/>
      <c r="AB38" s="86"/>
    </row>
    <row r="40" spans="2:28" x14ac:dyDescent="0.3">
      <c r="R40" t="s">
        <v>36</v>
      </c>
    </row>
    <row r="45" spans="2:28" ht="15.6" x14ac:dyDescent="0.3">
      <c r="G45" s="43"/>
    </row>
  </sheetData>
  <mergeCells count="55">
    <mergeCell ref="P38:Q38"/>
    <mergeCell ref="R38:S38"/>
    <mergeCell ref="T38:U38"/>
    <mergeCell ref="W38:X38"/>
    <mergeCell ref="Z38:AA38"/>
    <mergeCell ref="B38:C38"/>
    <mergeCell ref="D38:I38"/>
    <mergeCell ref="J38:K38"/>
    <mergeCell ref="L38:M38"/>
    <mergeCell ref="N38:O38"/>
    <mergeCell ref="P37:Q37"/>
    <mergeCell ref="R37:S37"/>
    <mergeCell ref="T37:U37"/>
    <mergeCell ref="W37:X37"/>
    <mergeCell ref="Z37:AA37"/>
    <mergeCell ref="B37:C37"/>
    <mergeCell ref="D37:I37"/>
    <mergeCell ref="J37:K37"/>
    <mergeCell ref="L37:M37"/>
    <mergeCell ref="N37:O37"/>
    <mergeCell ref="P36:Q36"/>
    <mergeCell ref="R36:S36"/>
    <mergeCell ref="T36:U36"/>
    <mergeCell ref="W36:X36"/>
    <mergeCell ref="Z36:AA36"/>
    <mergeCell ref="B36:C36"/>
    <mergeCell ref="D36:I36"/>
    <mergeCell ref="J36:K36"/>
    <mergeCell ref="L36:M36"/>
    <mergeCell ref="N36:O36"/>
    <mergeCell ref="P35:Q35"/>
    <mergeCell ref="R35:S35"/>
    <mergeCell ref="Z34:AA34"/>
    <mergeCell ref="W35:X35"/>
    <mergeCell ref="Z35:AA35"/>
    <mergeCell ref="T35:U35"/>
    <mergeCell ref="P34:Q34"/>
    <mergeCell ref="R34:S34"/>
    <mergeCell ref="T34:U34"/>
    <mergeCell ref="W34:X34"/>
    <mergeCell ref="N1:O1"/>
    <mergeCell ref="B35:C35"/>
    <mergeCell ref="B34:C34"/>
    <mergeCell ref="D34:E34"/>
    <mergeCell ref="F34:G34"/>
    <mergeCell ref="H34:I34"/>
    <mergeCell ref="J34:K34"/>
    <mergeCell ref="L34:M34"/>
    <mergeCell ref="N34:O34"/>
    <mergeCell ref="D35:E35"/>
    <mergeCell ref="F35:G35"/>
    <mergeCell ref="L35:M35"/>
    <mergeCell ref="N35:O35"/>
    <mergeCell ref="J35:K35"/>
    <mergeCell ref="H35:I35"/>
  </mergeCells>
  <conditionalFormatting sqref="J38:K38">
    <cfRule type="cellIs" dxfId="5" priority="5" operator="greaterThan">
      <formula>1</formula>
    </cfRule>
    <cfRule type="cellIs" dxfId="4" priority="6" operator="lessThan">
      <formula>1</formula>
    </cfRule>
  </conditionalFormatting>
  <conditionalFormatting sqref="L38:Q38 W38:AA38">
    <cfRule type="cellIs" dxfId="3" priority="3" operator="greaterThan">
      <formula>1</formula>
    </cfRule>
    <cfRule type="cellIs" dxfId="2" priority="4" operator="lessThan">
      <formula>1</formula>
    </cfRule>
  </conditionalFormatting>
  <conditionalFormatting sqref="R37:V37">
    <cfRule type="cellIs" dxfId="1" priority="1" operator="lessThan">
      <formula>0</formula>
    </cfRule>
    <cfRule type="cellIs" dxfId="0" priority="2" operator="greaterThan">
      <formula>0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5" orientation="landscape" r:id="rId1"/>
  <headerFooter>
    <oddHeader>&amp;L&amp;G&amp;C&amp;"-,Bold"&amp;20&amp;K0E8C53Daily Dashboard
EFC Limited (Uganda)&amp;R&amp;F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A1:G300"/>
  <sheetViews>
    <sheetView workbookViewId="0">
      <selection activeCell="C11" sqref="C11"/>
    </sheetView>
  </sheetViews>
  <sheetFormatPr defaultColWidth="11.44140625" defaultRowHeight="14.4" x14ac:dyDescent="0.3"/>
  <cols>
    <col min="1" max="1" width="34.33203125" bestFit="1" customWidth="1"/>
    <col min="2" max="2" width="39.6640625" bestFit="1" customWidth="1"/>
    <col min="3" max="3" width="45.33203125" bestFit="1" customWidth="1"/>
    <col min="4" max="4" width="17.33203125" bestFit="1" customWidth="1"/>
    <col min="7" max="7" width="11.5546875" style="36"/>
  </cols>
  <sheetData>
    <row r="1" spans="1:7" x14ac:dyDescent="0.3">
      <c r="A1" t="s">
        <v>103</v>
      </c>
      <c r="B1" t="s">
        <v>102</v>
      </c>
      <c r="C1" t="s">
        <v>101</v>
      </c>
      <c r="D1" t="s">
        <v>100</v>
      </c>
      <c r="E1" t="s">
        <v>99</v>
      </c>
      <c r="F1" t="s">
        <v>98</v>
      </c>
      <c r="G1" s="36" t="s">
        <v>97</v>
      </c>
    </row>
    <row r="2" spans="1:7" x14ac:dyDescent="0.3">
      <c r="A2" t="s">
        <v>94</v>
      </c>
      <c r="B2" t="s">
        <v>96</v>
      </c>
      <c r="C2" t="s">
        <v>203</v>
      </c>
      <c r="D2" t="s">
        <v>117</v>
      </c>
      <c r="E2">
        <v>2</v>
      </c>
      <c r="F2">
        <v>12500740.92</v>
      </c>
      <c r="G2" s="36">
        <v>2.0799999999999999E-2</v>
      </c>
    </row>
    <row r="3" spans="1:7" x14ac:dyDescent="0.3">
      <c r="A3" t="s">
        <v>94</v>
      </c>
      <c r="B3" t="s">
        <v>96</v>
      </c>
      <c r="C3" t="s">
        <v>203</v>
      </c>
      <c r="D3" t="s">
        <v>118</v>
      </c>
      <c r="E3">
        <v>1</v>
      </c>
      <c r="F3">
        <v>1954958.15</v>
      </c>
      <c r="G3" s="36">
        <v>3.2000000000000002E-3</v>
      </c>
    </row>
    <row r="4" spans="1:7" x14ac:dyDescent="0.3">
      <c r="A4" t="s">
        <v>94</v>
      </c>
      <c r="B4" t="s">
        <v>96</v>
      </c>
      <c r="C4" t="s">
        <v>225</v>
      </c>
      <c r="D4" t="s">
        <v>117</v>
      </c>
      <c r="E4">
        <v>1</v>
      </c>
      <c r="F4">
        <v>1837474.99</v>
      </c>
      <c r="G4" s="36">
        <v>3.0000000000000001E-3</v>
      </c>
    </row>
    <row r="5" spans="1:7" x14ac:dyDescent="0.3">
      <c r="A5" t="s">
        <v>94</v>
      </c>
      <c r="B5" t="s">
        <v>96</v>
      </c>
      <c r="C5" t="s">
        <v>225</v>
      </c>
      <c r="D5" t="s">
        <v>119</v>
      </c>
      <c r="E5">
        <v>1</v>
      </c>
      <c r="F5">
        <v>25721451.030000001</v>
      </c>
      <c r="G5" s="36">
        <v>4.2799999999999998E-2</v>
      </c>
    </row>
    <row r="6" spans="1:7" x14ac:dyDescent="0.3">
      <c r="A6" t="s">
        <v>94</v>
      </c>
      <c r="B6" t="s">
        <v>96</v>
      </c>
      <c r="C6" t="s">
        <v>205</v>
      </c>
      <c r="D6" t="s">
        <v>117</v>
      </c>
      <c r="E6">
        <v>7</v>
      </c>
      <c r="F6">
        <v>182367866.84999999</v>
      </c>
      <c r="G6" s="36">
        <v>0.30409999999999998</v>
      </c>
    </row>
    <row r="7" spans="1:7" x14ac:dyDescent="0.3">
      <c r="A7" t="s">
        <v>94</v>
      </c>
      <c r="B7" t="s">
        <v>96</v>
      </c>
      <c r="C7" t="s">
        <v>205</v>
      </c>
      <c r="D7" t="s">
        <v>118</v>
      </c>
      <c r="E7">
        <v>1</v>
      </c>
      <c r="F7">
        <v>9513966.0500000007</v>
      </c>
      <c r="G7" s="36">
        <v>1.5800000000000002E-2</v>
      </c>
    </row>
    <row r="8" spans="1:7" x14ac:dyDescent="0.3">
      <c r="A8" t="s">
        <v>94</v>
      </c>
      <c r="B8" t="s">
        <v>96</v>
      </c>
      <c r="C8" t="s">
        <v>205</v>
      </c>
      <c r="D8" t="s">
        <v>119</v>
      </c>
      <c r="E8">
        <v>2</v>
      </c>
      <c r="F8">
        <v>108810347.01000001</v>
      </c>
      <c r="G8" s="36">
        <v>0.18140000000000001</v>
      </c>
    </row>
    <row r="9" spans="1:7" x14ac:dyDescent="0.3">
      <c r="A9" t="s">
        <v>94</v>
      </c>
      <c r="B9" t="s">
        <v>96</v>
      </c>
      <c r="C9" t="s">
        <v>213</v>
      </c>
      <c r="D9" t="s">
        <v>117</v>
      </c>
      <c r="E9">
        <v>1</v>
      </c>
      <c r="F9">
        <v>9900000</v>
      </c>
      <c r="G9" s="36">
        <v>1.6500000000000001E-2</v>
      </c>
    </row>
    <row r="10" spans="1:7" x14ac:dyDescent="0.3">
      <c r="A10" t="s">
        <v>94</v>
      </c>
      <c r="B10" t="s">
        <v>96</v>
      </c>
      <c r="C10" t="s">
        <v>213</v>
      </c>
      <c r="D10" t="s">
        <v>118</v>
      </c>
      <c r="E10">
        <v>1</v>
      </c>
      <c r="F10">
        <v>3057281.56</v>
      </c>
      <c r="G10" s="36">
        <v>5.0000000000000001E-3</v>
      </c>
    </row>
    <row r="11" spans="1:7" x14ac:dyDescent="0.3">
      <c r="A11" t="s">
        <v>94</v>
      </c>
      <c r="B11" t="s">
        <v>96</v>
      </c>
      <c r="C11" t="s">
        <v>126</v>
      </c>
      <c r="D11" t="s">
        <v>117</v>
      </c>
      <c r="E11">
        <v>3</v>
      </c>
      <c r="F11">
        <v>50500000</v>
      </c>
      <c r="G11" s="36">
        <v>8.4199999999999997E-2</v>
      </c>
    </row>
    <row r="12" spans="1:7" x14ac:dyDescent="0.3">
      <c r="A12" t="s">
        <v>94</v>
      </c>
      <c r="B12" t="s">
        <v>96</v>
      </c>
      <c r="C12" t="s">
        <v>126</v>
      </c>
      <c r="D12" t="s">
        <v>119</v>
      </c>
      <c r="E12">
        <v>1</v>
      </c>
      <c r="F12">
        <v>9900000</v>
      </c>
      <c r="G12" s="36">
        <v>1.6500000000000001E-2</v>
      </c>
    </row>
    <row r="13" spans="1:7" x14ac:dyDescent="0.3">
      <c r="A13" t="s">
        <v>94</v>
      </c>
      <c r="B13" t="s">
        <v>96</v>
      </c>
      <c r="C13" t="s">
        <v>95</v>
      </c>
      <c r="D13" t="s">
        <v>117</v>
      </c>
      <c r="E13">
        <v>15</v>
      </c>
      <c r="F13">
        <v>239924027.94999999</v>
      </c>
      <c r="G13" s="36">
        <v>0.40010000000000001</v>
      </c>
    </row>
    <row r="14" spans="1:7" x14ac:dyDescent="0.3">
      <c r="A14" t="s">
        <v>94</v>
      </c>
      <c r="B14" t="s">
        <v>96</v>
      </c>
      <c r="C14" t="s">
        <v>95</v>
      </c>
      <c r="D14" t="s">
        <v>118</v>
      </c>
      <c r="E14">
        <v>5</v>
      </c>
      <c r="F14">
        <v>199846676.56999999</v>
      </c>
      <c r="G14" s="36">
        <v>0.3332</v>
      </c>
    </row>
    <row r="15" spans="1:7" x14ac:dyDescent="0.3">
      <c r="A15" t="s">
        <v>94</v>
      </c>
      <c r="B15" t="s">
        <v>96</v>
      </c>
      <c r="C15" t="s">
        <v>95</v>
      </c>
      <c r="D15" t="s">
        <v>119</v>
      </c>
      <c r="E15">
        <v>2</v>
      </c>
      <c r="F15">
        <v>43524367.350000001</v>
      </c>
      <c r="G15" s="36">
        <v>7.2499999999999995E-2</v>
      </c>
    </row>
    <row r="16" spans="1:7" x14ac:dyDescent="0.3">
      <c r="A16" t="s">
        <v>94</v>
      </c>
      <c r="B16" t="s">
        <v>96</v>
      </c>
      <c r="C16" t="s">
        <v>95</v>
      </c>
      <c r="D16" t="s">
        <v>144</v>
      </c>
      <c r="E16">
        <v>2</v>
      </c>
      <c r="F16">
        <v>25959545.32</v>
      </c>
      <c r="G16" s="36">
        <v>4.3200000000000002E-2</v>
      </c>
    </row>
    <row r="17" spans="1:7" x14ac:dyDescent="0.3">
      <c r="A17" t="s">
        <v>94</v>
      </c>
      <c r="B17" t="s">
        <v>96</v>
      </c>
      <c r="C17" t="s">
        <v>263</v>
      </c>
      <c r="D17" t="s">
        <v>117</v>
      </c>
      <c r="E17">
        <v>1</v>
      </c>
      <c r="F17">
        <v>100000000</v>
      </c>
      <c r="G17" s="36">
        <v>0.16669999999999999</v>
      </c>
    </row>
    <row r="18" spans="1:7" x14ac:dyDescent="0.3">
      <c r="A18" t="s">
        <v>94</v>
      </c>
      <c r="B18" t="s">
        <v>114</v>
      </c>
      <c r="C18" t="s">
        <v>130</v>
      </c>
      <c r="D18" t="s">
        <v>117</v>
      </c>
      <c r="E18">
        <v>42</v>
      </c>
      <c r="F18">
        <v>224108864.65000001</v>
      </c>
      <c r="G18" s="36">
        <v>0.37369999999999998</v>
      </c>
    </row>
    <row r="19" spans="1:7" x14ac:dyDescent="0.3">
      <c r="A19" t="s">
        <v>94</v>
      </c>
      <c r="B19" t="s">
        <v>114</v>
      </c>
      <c r="C19" t="s">
        <v>130</v>
      </c>
      <c r="D19" t="s">
        <v>118</v>
      </c>
      <c r="E19">
        <v>3</v>
      </c>
      <c r="F19">
        <v>167835324.93000001</v>
      </c>
      <c r="G19" s="36">
        <v>0.27989999999999998</v>
      </c>
    </row>
    <row r="20" spans="1:7" x14ac:dyDescent="0.3">
      <c r="A20" t="s">
        <v>94</v>
      </c>
      <c r="B20" t="s">
        <v>114</v>
      </c>
      <c r="C20" t="s">
        <v>130</v>
      </c>
      <c r="D20" t="s">
        <v>119</v>
      </c>
      <c r="E20">
        <v>1</v>
      </c>
      <c r="F20">
        <v>8721950.1199999992</v>
      </c>
      <c r="G20" s="36">
        <v>1.4500000000000001E-2</v>
      </c>
    </row>
    <row r="21" spans="1:7" x14ac:dyDescent="0.3">
      <c r="A21" t="s">
        <v>94</v>
      </c>
      <c r="B21" t="s">
        <v>114</v>
      </c>
      <c r="C21" t="s">
        <v>130</v>
      </c>
      <c r="D21" t="s">
        <v>144</v>
      </c>
      <c r="E21">
        <v>2</v>
      </c>
      <c r="F21">
        <v>8694167.3300000001</v>
      </c>
      <c r="G21" s="36">
        <v>1.44E-2</v>
      </c>
    </row>
    <row r="22" spans="1:7" x14ac:dyDescent="0.3">
      <c r="A22" t="s">
        <v>94</v>
      </c>
      <c r="B22" t="s">
        <v>114</v>
      </c>
      <c r="C22" t="s">
        <v>230</v>
      </c>
      <c r="D22" t="s">
        <v>117</v>
      </c>
      <c r="E22">
        <v>7</v>
      </c>
      <c r="F22">
        <v>224731114.28999999</v>
      </c>
      <c r="G22" s="36">
        <v>0.37469999999999998</v>
      </c>
    </row>
    <row r="23" spans="1:7" x14ac:dyDescent="0.3">
      <c r="A23" t="s">
        <v>94</v>
      </c>
      <c r="B23" t="s">
        <v>114</v>
      </c>
      <c r="C23" t="s">
        <v>49</v>
      </c>
      <c r="D23" t="s">
        <v>117</v>
      </c>
      <c r="E23">
        <v>14</v>
      </c>
      <c r="F23">
        <v>484241912.62</v>
      </c>
      <c r="G23" s="36">
        <v>0.8075</v>
      </c>
    </row>
    <row r="24" spans="1:7" x14ac:dyDescent="0.3">
      <c r="A24" t="s">
        <v>94</v>
      </c>
      <c r="B24" t="s">
        <v>114</v>
      </c>
      <c r="C24" t="s">
        <v>49</v>
      </c>
      <c r="D24" t="s">
        <v>118</v>
      </c>
      <c r="E24">
        <v>3</v>
      </c>
      <c r="F24">
        <v>110842282.48999999</v>
      </c>
      <c r="G24" s="36">
        <v>0.18479999999999999</v>
      </c>
    </row>
    <row r="25" spans="1:7" x14ac:dyDescent="0.3">
      <c r="A25" t="s">
        <v>94</v>
      </c>
      <c r="B25" t="s">
        <v>114</v>
      </c>
      <c r="C25" t="s">
        <v>231</v>
      </c>
      <c r="D25" t="s">
        <v>117</v>
      </c>
      <c r="E25">
        <v>1</v>
      </c>
      <c r="F25">
        <v>7971405.4800000004</v>
      </c>
      <c r="G25" s="36">
        <v>1.32E-2</v>
      </c>
    </row>
    <row r="26" spans="1:7" x14ac:dyDescent="0.3">
      <c r="A26" t="s">
        <v>94</v>
      </c>
      <c r="B26" t="s">
        <v>114</v>
      </c>
      <c r="C26" t="s">
        <v>231</v>
      </c>
      <c r="D26" t="s">
        <v>118</v>
      </c>
      <c r="E26">
        <v>1</v>
      </c>
      <c r="F26">
        <v>25000000</v>
      </c>
      <c r="G26" s="36">
        <v>4.1599999999999998E-2</v>
      </c>
    </row>
    <row r="27" spans="1:7" x14ac:dyDescent="0.3">
      <c r="A27" t="s">
        <v>94</v>
      </c>
      <c r="B27" t="s">
        <v>114</v>
      </c>
      <c r="C27" t="s">
        <v>232</v>
      </c>
      <c r="D27" t="s">
        <v>117</v>
      </c>
      <c r="E27">
        <v>1</v>
      </c>
      <c r="F27">
        <v>2601918.4700000002</v>
      </c>
      <c r="G27" s="36">
        <v>4.3E-3</v>
      </c>
    </row>
    <row r="28" spans="1:7" x14ac:dyDescent="0.3">
      <c r="A28" t="s">
        <v>94</v>
      </c>
      <c r="B28" t="s">
        <v>114</v>
      </c>
      <c r="C28" t="s">
        <v>232</v>
      </c>
      <c r="D28" t="s">
        <v>118</v>
      </c>
      <c r="E28">
        <v>2</v>
      </c>
      <c r="F28">
        <v>85806142.859999999</v>
      </c>
      <c r="G28" s="36">
        <v>0.1431</v>
      </c>
    </row>
    <row r="29" spans="1:7" x14ac:dyDescent="0.3">
      <c r="A29" t="s">
        <v>94</v>
      </c>
      <c r="B29" t="s">
        <v>114</v>
      </c>
      <c r="C29" t="s">
        <v>233</v>
      </c>
      <c r="D29" t="s">
        <v>117</v>
      </c>
      <c r="E29">
        <v>2</v>
      </c>
      <c r="F29">
        <v>49722511.159999996</v>
      </c>
      <c r="G29" s="36">
        <v>8.2900000000000001E-2</v>
      </c>
    </row>
    <row r="30" spans="1:7" x14ac:dyDescent="0.3">
      <c r="A30" t="s">
        <v>94</v>
      </c>
      <c r="B30" t="s">
        <v>193</v>
      </c>
      <c r="C30" t="s">
        <v>234</v>
      </c>
      <c r="D30" t="s">
        <v>117</v>
      </c>
      <c r="E30">
        <v>1</v>
      </c>
      <c r="F30">
        <v>16511328.15</v>
      </c>
      <c r="G30" s="36">
        <v>2.75E-2</v>
      </c>
    </row>
    <row r="31" spans="1:7" x14ac:dyDescent="0.3">
      <c r="A31" t="s">
        <v>94</v>
      </c>
      <c r="B31" t="s">
        <v>193</v>
      </c>
      <c r="C31" t="s">
        <v>234</v>
      </c>
      <c r="D31" t="s">
        <v>118</v>
      </c>
      <c r="E31">
        <v>2</v>
      </c>
      <c r="F31">
        <v>105984418.54000001</v>
      </c>
      <c r="G31" s="36">
        <v>0.1767</v>
      </c>
    </row>
    <row r="32" spans="1:7" x14ac:dyDescent="0.3">
      <c r="A32" t="s">
        <v>94</v>
      </c>
      <c r="B32" t="s">
        <v>193</v>
      </c>
      <c r="C32" t="s">
        <v>194</v>
      </c>
      <c r="D32" t="s">
        <v>117</v>
      </c>
      <c r="E32">
        <v>4</v>
      </c>
      <c r="F32">
        <v>86310773.400000006</v>
      </c>
      <c r="G32" s="36">
        <v>0.1439</v>
      </c>
    </row>
    <row r="33" spans="1:7" x14ac:dyDescent="0.3">
      <c r="A33" t="s">
        <v>94</v>
      </c>
      <c r="B33" t="s">
        <v>93</v>
      </c>
      <c r="C33" t="s">
        <v>92</v>
      </c>
      <c r="D33" t="s">
        <v>117</v>
      </c>
      <c r="E33">
        <v>5</v>
      </c>
      <c r="F33">
        <v>150319229.30000001</v>
      </c>
      <c r="G33" s="36">
        <v>0.25059999999999999</v>
      </c>
    </row>
    <row r="34" spans="1:7" x14ac:dyDescent="0.3">
      <c r="A34" t="s">
        <v>94</v>
      </c>
      <c r="B34" t="s">
        <v>93</v>
      </c>
      <c r="C34" t="s">
        <v>92</v>
      </c>
      <c r="D34" t="s">
        <v>118</v>
      </c>
      <c r="E34">
        <v>1</v>
      </c>
      <c r="F34">
        <v>13311906.08</v>
      </c>
      <c r="G34" s="36">
        <v>2.2200000000000001E-2</v>
      </c>
    </row>
    <row r="35" spans="1:7" x14ac:dyDescent="0.3">
      <c r="A35" t="s">
        <v>94</v>
      </c>
      <c r="B35" t="s">
        <v>49</v>
      </c>
      <c r="C35" t="s">
        <v>49</v>
      </c>
      <c r="D35" t="s">
        <v>117</v>
      </c>
      <c r="E35">
        <v>10</v>
      </c>
      <c r="F35">
        <v>403479074.35000002</v>
      </c>
      <c r="G35" s="36">
        <v>0.67290000000000005</v>
      </c>
    </row>
    <row r="36" spans="1:7" x14ac:dyDescent="0.3">
      <c r="A36" t="s">
        <v>94</v>
      </c>
      <c r="B36" t="s">
        <v>49</v>
      </c>
      <c r="C36" t="s">
        <v>49</v>
      </c>
      <c r="D36" t="s">
        <v>118</v>
      </c>
      <c r="E36">
        <v>3</v>
      </c>
      <c r="F36">
        <v>43447028.600000001</v>
      </c>
      <c r="G36" s="36">
        <v>7.2400000000000006E-2</v>
      </c>
    </row>
    <row r="37" spans="1:7" x14ac:dyDescent="0.3">
      <c r="A37" t="s">
        <v>94</v>
      </c>
      <c r="B37" t="s">
        <v>49</v>
      </c>
      <c r="C37" t="s">
        <v>49</v>
      </c>
      <c r="D37" t="s">
        <v>119</v>
      </c>
      <c r="E37">
        <v>1</v>
      </c>
      <c r="F37">
        <v>24599841.73</v>
      </c>
      <c r="G37" s="36">
        <v>4.1000000000000002E-2</v>
      </c>
    </row>
    <row r="38" spans="1:7" x14ac:dyDescent="0.3">
      <c r="A38" t="s">
        <v>94</v>
      </c>
      <c r="B38" t="s">
        <v>49</v>
      </c>
      <c r="C38" t="s">
        <v>49</v>
      </c>
      <c r="D38" t="s">
        <v>144</v>
      </c>
      <c r="E38">
        <v>3</v>
      </c>
      <c r="F38">
        <v>5877719.9500000002</v>
      </c>
      <c r="G38" s="36">
        <v>9.7999999999999997E-3</v>
      </c>
    </row>
    <row r="39" spans="1:7" x14ac:dyDescent="0.3">
      <c r="A39" t="s">
        <v>88</v>
      </c>
      <c r="B39" t="s">
        <v>90</v>
      </c>
      <c r="C39" t="s">
        <v>91</v>
      </c>
      <c r="D39" t="s">
        <v>117</v>
      </c>
      <c r="E39">
        <v>4</v>
      </c>
      <c r="F39">
        <v>194725708.34</v>
      </c>
      <c r="G39" s="36">
        <v>0.32469999999999999</v>
      </c>
    </row>
    <row r="40" spans="1:7" x14ac:dyDescent="0.3">
      <c r="A40" t="s">
        <v>88</v>
      </c>
      <c r="B40" t="s">
        <v>90</v>
      </c>
      <c r="C40" t="s">
        <v>91</v>
      </c>
      <c r="D40" t="s">
        <v>118</v>
      </c>
      <c r="E40">
        <v>1</v>
      </c>
      <c r="F40">
        <v>18442978.629999999</v>
      </c>
      <c r="G40" s="36">
        <v>3.0700000000000002E-2</v>
      </c>
    </row>
    <row r="41" spans="1:7" x14ac:dyDescent="0.3">
      <c r="A41" t="s">
        <v>88</v>
      </c>
      <c r="B41" t="s">
        <v>90</v>
      </c>
      <c r="C41" t="s">
        <v>91</v>
      </c>
      <c r="D41" t="s">
        <v>119</v>
      </c>
      <c r="E41">
        <v>2</v>
      </c>
      <c r="F41">
        <v>31474506.600000001</v>
      </c>
      <c r="G41" s="36">
        <v>5.2400000000000002E-2</v>
      </c>
    </row>
    <row r="42" spans="1:7" x14ac:dyDescent="0.3">
      <c r="A42" t="s">
        <v>88</v>
      </c>
      <c r="B42" t="s">
        <v>90</v>
      </c>
      <c r="C42" t="s">
        <v>91</v>
      </c>
      <c r="D42" t="s">
        <v>144</v>
      </c>
      <c r="E42">
        <v>1</v>
      </c>
      <c r="F42">
        <v>1597936.06</v>
      </c>
      <c r="G42" s="36">
        <v>2.5999999999999999E-3</v>
      </c>
    </row>
    <row r="43" spans="1:7" x14ac:dyDescent="0.3">
      <c r="A43" t="s">
        <v>88</v>
      </c>
      <c r="B43" t="s">
        <v>90</v>
      </c>
      <c r="C43" t="s">
        <v>49</v>
      </c>
      <c r="D43" t="s">
        <v>117</v>
      </c>
      <c r="E43">
        <v>5</v>
      </c>
      <c r="F43">
        <v>386818173.57999998</v>
      </c>
      <c r="G43" s="36">
        <v>0.64510000000000001</v>
      </c>
    </row>
    <row r="44" spans="1:7" x14ac:dyDescent="0.3">
      <c r="A44" t="s">
        <v>88</v>
      </c>
      <c r="B44" t="s">
        <v>90</v>
      </c>
      <c r="C44" t="s">
        <v>49</v>
      </c>
      <c r="D44" t="s">
        <v>144</v>
      </c>
      <c r="E44">
        <v>1</v>
      </c>
      <c r="F44">
        <v>702960.77</v>
      </c>
      <c r="G44" s="36">
        <v>1.1000000000000001E-3</v>
      </c>
    </row>
    <row r="45" spans="1:7" x14ac:dyDescent="0.3">
      <c r="A45" t="s">
        <v>88</v>
      </c>
      <c r="B45" t="s">
        <v>90</v>
      </c>
      <c r="C45" t="s">
        <v>89</v>
      </c>
      <c r="D45" t="s">
        <v>117</v>
      </c>
      <c r="E45">
        <v>12</v>
      </c>
      <c r="F45">
        <v>552285437.48000002</v>
      </c>
      <c r="G45" s="36">
        <v>0.92100000000000004</v>
      </c>
    </row>
    <row r="46" spans="1:7" x14ac:dyDescent="0.3">
      <c r="A46" t="s">
        <v>88</v>
      </c>
      <c r="B46" t="s">
        <v>90</v>
      </c>
      <c r="C46" t="s">
        <v>89</v>
      </c>
      <c r="D46" t="s">
        <v>118</v>
      </c>
      <c r="E46">
        <v>2</v>
      </c>
      <c r="F46">
        <v>14003960.949999999</v>
      </c>
      <c r="G46" s="36">
        <v>2.3300000000000001E-2</v>
      </c>
    </row>
    <row r="47" spans="1:7" x14ac:dyDescent="0.3">
      <c r="A47" t="s">
        <v>88</v>
      </c>
      <c r="B47" t="s">
        <v>90</v>
      </c>
      <c r="C47" t="s">
        <v>89</v>
      </c>
      <c r="D47" t="s">
        <v>144</v>
      </c>
      <c r="E47">
        <v>1</v>
      </c>
      <c r="F47">
        <v>1933866.15</v>
      </c>
      <c r="G47" s="36">
        <v>3.2000000000000002E-3</v>
      </c>
    </row>
    <row r="48" spans="1:7" x14ac:dyDescent="0.3">
      <c r="A48" t="s">
        <v>88</v>
      </c>
      <c r="B48" t="s">
        <v>49</v>
      </c>
      <c r="C48" t="s">
        <v>49</v>
      </c>
      <c r="D48" t="s">
        <v>144</v>
      </c>
      <c r="E48">
        <v>1</v>
      </c>
      <c r="F48">
        <v>774594.93</v>
      </c>
      <c r="G48" s="36">
        <v>1.1999999999999999E-3</v>
      </c>
    </row>
    <row r="49" spans="1:7" x14ac:dyDescent="0.3">
      <c r="A49" t="s">
        <v>88</v>
      </c>
      <c r="B49" t="s">
        <v>229</v>
      </c>
      <c r="C49" t="s">
        <v>235</v>
      </c>
      <c r="D49" t="s">
        <v>117</v>
      </c>
      <c r="E49">
        <v>1</v>
      </c>
      <c r="F49">
        <v>2854800.12</v>
      </c>
      <c r="G49" s="36">
        <v>4.7000000000000002E-3</v>
      </c>
    </row>
    <row r="50" spans="1:7" x14ac:dyDescent="0.3">
      <c r="A50" t="s">
        <v>88</v>
      </c>
      <c r="B50" t="s">
        <v>229</v>
      </c>
      <c r="C50" t="s">
        <v>236</v>
      </c>
      <c r="D50" t="s">
        <v>117</v>
      </c>
      <c r="E50">
        <v>3</v>
      </c>
      <c r="F50">
        <v>145877533.5</v>
      </c>
      <c r="G50" s="36">
        <v>0.2432</v>
      </c>
    </row>
    <row r="51" spans="1:7" x14ac:dyDescent="0.3">
      <c r="A51" t="s">
        <v>86</v>
      </c>
      <c r="B51" t="s">
        <v>86</v>
      </c>
      <c r="C51" t="s">
        <v>87</v>
      </c>
      <c r="D51" t="s">
        <v>117</v>
      </c>
      <c r="E51">
        <v>6</v>
      </c>
      <c r="F51">
        <v>297770725.64999998</v>
      </c>
      <c r="G51" s="36">
        <v>0.49659999999999999</v>
      </c>
    </row>
    <row r="52" spans="1:7" x14ac:dyDescent="0.3">
      <c r="A52" t="s">
        <v>86</v>
      </c>
      <c r="B52" t="s">
        <v>86</v>
      </c>
      <c r="C52" t="s">
        <v>87</v>
      </c>
      <c r="D52" t="s">
        <v>118</v>
      </c>
      <c r="E52">
        <v>2</v>
      </c>
      <c r="F52">
        <v>200000000</v>
      </c>
      <c r="G52" s="36">
        <v>0.33350000000000002</v>
      </c>
    </row>
    <row r="53" spans="1:7" x14ac:dyDescent="0.3">
      <c r="A53" t="s">
        <v>86</v>
      </c>
      <c r="B53" t="s">
        <v>86</v>
      </c>
      <c r="C53" t="s">
        <v>87</v>
      </c>
      <c r="D53" t="s">
        <v>144</v>
      </c>
      <c r="E53">
        <v>1</v>
      </c>
      <c r="F53">
        <v>1152654.4099999999</v>
      </c>
      <c r="G53" s="36">
        <v>1.9E-3</v>
      </c>
    </row>
    <row r="54" spans="1:7" x14ac:dyDescent="0.3">
      <c r="A54" t="s">
        <v>104</v>
      </c>
      <c r="B54" t="s">
        <v>109</v>
      </c>
      <c r="C54" t="s">
        <v>237</v>
      </c>
      <c r="D54" t="s">
        <v>117</v>
      </c>
      <c r="E54">
        <v>3</v>
      </c>
      <c r="F54">
        <v>239579062.88</v>
      </c>
      <c r="G54" s="36">
        <v>0.39950000000000002</v>
      </c>
    </row>
    <row r="55" spans="1:7" x14ac:dyDescent="0.3">
      <c r="A55" t="s">
        <v>104</v>
      </c>
      <c r="B55" t="s">
        <v>109</v>
      </c>
      <c r="C55" t="s">
        <v>110</v>
      </c>
      <c r="D55" t="s">
        <v>117</v>
      </c>
      <c r="E55">
        <v>19</v>
      </c>
      <c r="F55">
        <v>260220471.81999999</v>
      </c>
      <c r="G55" s="36">
        <v>0.43390000000000001</v>
      </c>
    </row>
    <row r="56" spans="1:7" x14ac:dyDescent="0.3">
      <c r="A56" t="s">
        <v>104</v>
      </c>
      <c r="B56" t="s">
        <v>109</v>
      </c>
      <c r="C56" t="s">
        <v>110</v>
      </c>
      <c r="D56" t="s">
        <v>118</v>
      </c>
      <c r="E56">
        <v>1</v>
      </c>
      <c r="F56">
        <v>2144267.46</v>
      </c>
      <c r="G56" s="36">
        <v>3.5000000000000001E-3</v>
      </c>
    </row>
    <row r="57" spans="1:7" x14ac:dyDescent="0.3">
      <c r="A57" t="s">
        <v>104</v>
      </c>
      <c r="B57" t="s">
        <v>109</v>
      </c>
      <c r="C57" t="s">
        <v>110</v>
      </c>
      <c r="D57" t="s">
        <v>119</v>
      </c>
      <c r="E57">
        <v>1</v>
      </c>
      <c r="F57">
        <v>6362277.7199999997</v>
      </c>
      <c r="G57" s="36">
        <v>1.06E-2</v>
      </c>
    </row>
    <row r="58" spans="1:7" x14ac:dyDescent="0.3">
      <c r="A58" t="s">
        <v>104</v>
      </c>
      <c r="B58" t="s">
        <v>109</v>
      </c>
      <c r="C58" t="s">
        <v>110</v>
      </c>
      <c r="D58" t="s">
        <v>144</v>
      </c>
      <c r="E58">
        <v>1</v>
      </c>
      <c r="F58">
        <v>17740360.280000001</v>
      </c>
      <c r="G58" s="36">
        <v>2.9499999999999998E-2</v>
      </c>
    </row>
    <row r="59" spans="1:7" x14ac:dyDescent="0.3">
      <c r="A59" t="s">
        <v>104</v>
      </c>
      <c r="B59" t="s">
        <v>109</v>
      </c>
      <c r="C59" t="s">
        <v>49</v>
      </c>
      <c r="D59" t="s">
        <v>117</v>
      </c>
      <c r="E59">
        <v>4</v>
      </c>
      <c r="F59">
        <v>117696337.06999999</v>
      </c>
      <c r="G59" s="36">
        <v>0.19620000000000001</v>
      </c>
    </row>
    <row r="60" spans="1:7" x14ac:dyDescent="0.3">
      <c r="A60" t="s">
        <v>104</v>
      </c>
      <c r="B60" t="s">
        <v>49</v>
      </c>
      <c r="C60" t="s">
        <v>49</v>
      </c>
      <c r="D60" t="s">
        <v>118</v>
      </c>
      <c r="E60">
        <v>1</v>
      </c>
      <c r="F60">
        <v>32580164.77</v>
      </c>
      <c r="G60" s="36">
        <v>5.4300000000000001E-2</v>
      </c>
    </row>
    <row r="61" spans="1:7" x14ac:dyDescent="0.3">
      <c r="A61" t="s">
        <v>84</v>
      </c>
      <c r="B61" t="s">
        <v>84</v>
      </c>
      <c r="C61" t="s">
        <v>85</v>
      </c>
      <c r="D61" t="s">
        <v>117</v>
      </c>
      <c r="E61">
        <v>4</v>
      </c>
      <c r="F61">
        <v>28324493.239999998</v>
      </c>
      <c r="G61" s="36">
        <v>4.7199999999999999E-2</v>
      </c>
    </row>
    <row r="62" spans="1:7" x14ac:dyDescent="0.3">
      <c r="A62" t="s">
        <v>84</v>
      </c>
      <c r="B62" t="s">
        <v>84</v>
      </c>
      <c r="C62" t="s">
        <v>85</v>
      </c>
      <c r="D62" t="s">
        <v>118</v>
      </c>
      <c r="E62">
        <v>4</v>
      </c>
      <c r="F62">
        <v>168183759.91999999</v>
      </c>
      <c r="G62" s="36">
        <v>0.28039999999999998</v>
      </c>
    </row>
    <row r="63" spans="1:7" x14ac:dyDescent="0.3">
      <c r="A63" t="s">
        <v>84</v>
      </c>
      <c r="B63" t="s">
        <v>84</v>
      </c>
      <c r="C63" t="s">
        <v>214</v>
      </c>
      <c r="D63" t="s">
        <v>117</v>
      </c>
      <c r="E63">
        <v>2</v>
      </c>
      <c r="F63">
        <v>13035781.27</v>
      </c>
      <c r="G63" s="36">
        <v>2.1700000000000001E-2</v>
      </c>
    </row>
    <row r="64" spans="1:7" x14ac:dyDescent="0.3">
      <c r="A64" t="s">
        <v>84</v>
      </c>
      <c r="B64" t="s">
        <v>84</v>
      </c>
      <c r="C64" t="s">
        <v>214</v>
      </c>
      <c r="D64" t="s">
        <v>118</v>
      </c>
      <c r="E64">
        <v>1</v>
      </c>
      <c r="F64">
        <v>98919262.549999997</v>
      </c>
      <c r="G64" s="36">
        <v>0.16489999999999999</v>
      </c>
    </row>
    <row r="65" spans="1:7" x14ac:dyDescent="0.3">
      <c r="A65" t="s">
        <v>84</v>
      </c>
      <c r="B65" t="s">
        <v>84</v>
      </c>
      <c r="C65" t="s">
        <v>49</v>
      </c>
      <c r="D65" t="s">
        <v>117</v>
      </c>
      <c r="E65">
        <v>8</v>
      </c>
      <c r="F65">
        <v>174592857.47</v>
      </c>
      <c r="G65" s="36">
        <v>0.29110000000000003</v>
      </c>
    </row>
    <row r="66" spans="1:7" x14ac:dyDescent="0.3">
      <c r="A66" t="s">
        <v>84</v>
      </c>
      <c r="B66" t="s">
        <v>84</v>
      </c>
      <c r="C66" t="s">
        <v>49</v>
      </c>
      <c r="D66" t="s">
        <v>118</v>
      </c>
      <c r="E66">
        <v>1</v>
      </c>
      <c r="F66">
        <v>5141771.8</v>
      </c>
      <c r="G66" s="36">
        <v>8.5000000000000006E-3</v>
      </c>
    </row>
    <row r="67" spans="1:7" x14ac:dyDescent="0.3">
      <c r="A67" t="s">
        <v>84</v>
      </c>
      <c r="B67" t="s">
        <v>84</v>
      </c>
      <c r="C67" t="s">
        <v>49</v>
      </c>
      <c r="D67" t="s">
        <v>144</v>
      </c>
      <c r="E67">
        <v>2</v>
      </c>
      <c r="F67">
        <v>63701158.329999998</v>
      </c>
      <c r="G67" s="36">
        <v>0.1062</v>
      </c>
    </row>
    <row r="68" spans="1:7" x14ac:dyDescent="0.3">
      <c r="A68" t="s">
        <v>84</v>
      </c>
      <c r="B68" t="s">
        <v>49</v>
      </c>
      <c r="C68" t="s">
        <v>49</v>
      </c>
      <c r="D68" t="s">
        <v>144</v>
      </c>
      <c r="E68">
        <v>1</v>
      </c>
      <c r="F68">
        <v>1065929.53</v>
      </c>
      <c r="G68" s="36">
        <v>1.6999999999999999E-3</v>
      </c>
    </row>
    <row r="69" spans="1:7" x14ac:dyDescent="0.3">
      <c r="A69" t="s">
        <v>113</v>
      </c>
      <c r="B69" t="s">
        <v>49</v>
      </c>
      <c r="C69" t="s">
        <v>49</v>
      </c>
      <c r="D69" t="s">
        <v>117</v>
      </c>
      <c r="E69">
        <v>1</v>
      </c>
      <c r="F69">
        <v>108630510.31999999</v>
      </c>
      <c r="G69" s="36">
        <v>0.18110000000000001</v>
      </c>
    </row>
    <row r="70" spans="1:7" x14ac:dyDescent="0.3">
      <c r="A70" t="s">
        <v>113</v>
      </c>
      <c r="B70" t="s">
        <v>49</v>
      </c>
      <c r="C70" t="s">
        <v>49</v>
      </c>
      <c r="D70" t="s">
        <v>144</v>
      </c>
      <c r="E70">
        <v>1</v>
      </c>
      <c r="F70">
        <v>3147442.16</v>
      </c>
      <c r="G70" s="36">
        <v>5.1999999999999998E-3</v>
      </c>
    </row>
    <row r="71" spans="1:7" x14ac:dyDescent="0.3">
      <c r="A71" t="s">
        <v>113</v>
      </c>
      <c r="B71" t="s">
        <v>195</v>
      </c>
      <c r="C71" t="s">
        <v>196</v>
      </c>
      <c r="D71" t="s">
        <v>118</v>
      </c>
      <c r="E71">
        <v>2</v>
      </c>
      <c r="F71">
        <v>25889655.879999999</v>
      </c>
      <c r="G71" s="36">
        <v>4.3099999999999999E-2</v>
      </c>
    </row>
    <row r="72" spans="1:7" x14ac:dyDescent="0.3">
      <c r="A72" t="s">
        <v>113</v>
      </c>
      <c r="B72" t="s">
        <v>195</v>
      </c>
      <c r="C72" t="s">
        <v>196</v>
      </c>
      <c r="D72" t="s">
        <v>144</v>
      </c>
      <c r="E72">
        <v>1</v>
      </c>
      <c r="F72">
        <v>2184560.94</v>
      </c>
      <c r="G72" s="36">
        <v>3.5999999999999999E-3</v>
      </c>
    </row>
    <row r="73" spans="1:7" x14ac:dyDescent="0.3">
      <c r="A73" t="s">
        <v>113</v>
      </c>
      <c r="B73" t="s">
        <v>195</v>
      </c>
      <c r="C73" t="s">
        <v>49</v>
      </c>
      <c r="D73" t="s">
        <v>117</v>
      </c>
      <c r="E73">
        <v>1</v>
      </c>
      <c r="F73">
        <v>26145429.02</v>
      </c>
      <c r="G73" s="36">
        <v>4.36E-2</v>
      </c>
    </row>
    <row r="74" spans="1:7" x14ac:dyDescent="0.3">
      <c r="A74" t="s">
        <v>113</v>
      </c>
      <c r="B74" t="s">
        <v>195</v>
      </c>
      <c r="C74" t="s">
        <v>49</v>
      </c>
      <c r="D74" t="s">
        <v>144</v>
      </c>
      <c r="E74">
        <v>1</v>
      </c>
      <c r="F74">
        <v>372124.36</v>
      </c>
      <c r="G74" s="36">
        <v>5.9999999999999995E-4</v>
      </c>
    </row>
    <row r="75" spans="1:7" x14ac:dyDescent="0.3">
      <c r="A75" t="s">
        <v>82</v>
      </c>
      <c r="B75" t="s">
        <v>206</v>
      </c>
      <c r="C75" t="s">
        <v>49</v>
      </c>
      <c r="D75" t="s">
        <v>144</v>
      </c>
      <c r="E75">
        <v>1</v>
      </c>
      <c r="F75">
        <v>3632302.84</v>
      </c>
      <c r="G75" s="36">
        <v>6.0000000000000001E-3</v>
      </c>
    </row>
    <row r="76" spans="1:7" x14ac:dyDescent="0.3">
      <c r="A76" t="s">
        <v>82</v>
      </c>
      <c r="B76" t="s">
        <v>206</v>
      </c>
      <c r="C76" t="s">
        <v>228</v>
      </c>
      <c r="D76" t="s">
        <v>119</v>
      </c>
      <c r="E76">
        <v>1</v>
      </c>
      <c r="F76">
        <v>3250499.88</v>
      </c>
      <c r="G76" s="36">
        <v>5.4000000000000003E-3</v>
      </c>
    </row>
    <row r="77" spans="1:7" x14ac:dyDescent="0.3">
      <c r="A77" t="s">
        <v>82</v>
      </c>
      <c r="B77" t="s">
        <v>211</v>
      </c>
      <c r="C77" t="s">
        <v>212</v>
      </c>
      <c r="D77" t="s">
        <v>117</v>
      </c>
      <c r="E77">
        <v>1</v>
      </c>
      <c r="F77">
        <v>80000000</v>
      </c>
      <c r="G77" s="36">
        <v>0.13339999999999999</v>
      </c>
    </row>
    <row r="78" spans="1:7" x14ac:dyDescent="0.3">
      <c r="A78" t="s">
        <v>82</v>
      </c>
      <c r="B78" t="s">
        <v>211</v>
      </c>
      <c r="C78" t="s">
        <v>212</v>
      </c>
      <c r="D78" t="s">
        <v>119</v>
      </c>
      <c r="E78">
        <v>1</v>
      </c>
      <c r="F78">
        <v>68208484.859999999</v>
      </c>
      <c r="G78" s="36">
        <v>0.1137</v>
      </c>
    </row>
    <row r="79" spans="1:7" x14ac:dyDescent="0.3">
      <c r="A79" t="s">
        <v>82</v>
      </c>
      <c r="B79" t="s">
        <v>211</v>
      </c>
      <c r="C79" t="s">
        <v>238</v>
      </c>
      <c r="D79" t="s">
        <v>118</v>
      </c>
      <c r="E79">
        <v>1</v>
      </c>
      <c r="F79">
        <v>13000000</v>
      </c>
      <c r="G79" s="36">
        <v>2.1600000000000001E-2</v>
      </c>
    </row>
    <row r="80" spans="1:7" x14ac:dyDescent="0.3">
      <c r="A80" t="s">
        <v>82</v>
      </c>
      <c r="B80" t="s">
        <v>83</v>
      </c>
      <c r="C80" t="s">
        <v>239</v>
      </c>
      <c r="D80" t="s">
        <v>117</v>
      </c>
      <c r="E80">
        <v>1</v>
      </c>
      <c r="F80">
        <v>3188562.22</v>
      </c>
      <c r="G80" s="36">
        <v>5.3E-3</v>
      </c>
    </row>
    <row r="81" spans="1:7" x14ac:dyDescent="0.3">
      <c r="A81" t="s">
        <v>82</v>
      </c>
      <c r="B81" t="s">
        <v>83</v>
      </c>
      <c r="C81" t="s">
        <v>239</v>
      </c>
      <c r="D81" t="s">
        <v>118</v>
      </c>
      <c r="E81">
        <v>1</v>
      </c>
      <c r="F81">
        <v>24987957</v>
      </c>
      <c r="G81" s="36">
        <v>4.1599999999999998E-2</v>
      </c>
    </row>
    <row r="82" spans="1:7" x14ac:dyDescent="0.3">
      <c r="A82" t="s">
        <v>82</v>
      </c>
      <c r="B82" t="s">
        <v>83</v>
      </c>
      <c r="C82" t="s">
        <v>221</v>
      </c>
      <c r="D82" t="s">
        <v>117</v>
      </c>
      <c r="E82">
        <v>1</v>
      </c>
      <c r="F82">
        <v>5087818.63</v>
      </c>
      <c r="G82" s="36">
        <v>8.3999999999999995E-3</v>
      </c>
    </row>
    <row r="83" spans="1:7" x14ac:dyDescent="0.3">
      <c r="A83" t="s">
        <v>82</v>
      </c>
      <c r="B83" t="s">
        <v>83</v>
      </c>
      <c r="C83" t="s">
        <v>221</v>
      </c>
      <c r="D83" t="s">
        <v>119</v>
      </c>
      <c r="E83">
        <v>1</v>
      </c>
      <c r="F83">
        <v>4347942.54</v>
      </c>
      <c r="G83" s="36">
        <v>7.1999999999999998E-3</v>
      </c>
    </row>
    <row r="84" spans="1:7" x14ac:dyDescent="0.3">
      <c r="A84" t="s">
        <v>82</v>
      </c>
      <c r="B84" t="s">
        <v>83</v>
      </c>
      <c r="C84" t="s">
        <v>269</v>
      </c>
      <c r="D84" t="s">
        <v>118</v>
      </c>
      <c r="E84">
        <v>1</v>
      </c>
      <c r="F84">
        <v>68019921.469999999</v>
      </c>
      <c r="G84" s="36">
        <v>0.1134</v>
      </c>
    </row>
    <row r="85" spans="1:7" x14ac:dyDescent="0.3">
      <c r="A85" t="s">
        <v>82</v>
      </c>
      <c r="B85" t="s">
        <v>83</v>
      </c>
      <c r="C85" t="s">
        <v>49</v>
      </c>
      <c r="D85" t="s">
        <v>118</v>
      </c>
      <c r="E85">
        <v>1</v>
      </c>
      <c r="F85">
        <v>38326502.869999997</v>
      </c>
      <c r="G85" s="36">
        <v>6.3899999999999998E-2</v>
      </c>
    </row>
    <row r="86" spans="1:7" x14ac:dyDescent="0.3">
      <c r="A86" t="s">
        <v>82</v>
      </c>
      <c r="B86" t="s">
        <v>83</v>
      </c>
      <c r="C86" t="s">
        <v>264</v>
      </c>
      <c r="D86" t="s">
        <v>118</v>
      </c>
      <c r="E86">
        <v>1</v>
      </c>
      <c r="F86">
        <v>48562729.850000001</v>
      </c>
      <c r="G86" s="36">
        <v>8.09E-2</v>
      </c>
    </row>
    <row r="87" spans="1:7" x14ac:dyDescent="0.3">
      <c r="A87" t="s">
        <v>82</v>
      </c>
      <c r="B87" t="s">
        <v>83</v>
      </c>
      <c r="C87" t="s">
        <v>275</v>
      </c>
      <c r="D87" t="s">
        <v>117</v>
      </c>
      <c r="E87">
        <v>1</v>
      </c>
      <c r="F87">
        <v>8000000</v>
      </c>
      <c r="G87" s="36">
        <v>1.3299999999999999E-2</v>
      </c>
    </row>
    <row r="88" spans="1:7" x14ac:dyDescent="0.3">
      <c r="A88" t="s">
        <v>82</v>
      </c>
      <c r="B88" t="s">
        <v>240</v>
      </c>
      <c r="C88" t="s">
        <v>241</v>
      </c>
      <c r="D88" t="s">
        <v>119</v>
      </c>
      <c r="E88">
        <v>1</v>
      </c>
      <c r="F88">
        <v>73756020.780000001</v>
      </c>
      <c r="G88" s="36">
        <v>0.123</v>
      </c>
    </row>
    <row r="89" spans="1:7" x14ac:dyDescent="0.3">
      <c r="A89" t="s">
        <v>82</v>
      </c>
      <c r="B89" t="s">
        <v>242</v>
      </c>
      <c r="C89" t="s">
        <v>272</v>
      </c>
      <c r="D89" t="s">
        <v>117</v>
      </c>
      <c r="E89">
        <v>1</v>
      </c>
      <c r="F89">
        <v>3000000</v>
      </c>
      <c r="G89" s="36">
        <v>5.0000000000000001E-3</v>
      </c>
    </row>
    <row r="90" spans="1:7" x14ac:dyDescent="0.3">
      <c r="A90" t="s">
        <v>82</v>
      </c>
      <c r="B90" t="s">
        <v>242</v>
      </c>
      <c r="C90" t="s">
        <v>49</v>
      </c>
      <c r="D90" t="s">
        <v>119</v>
      </c>
      <c r="E90">
        <v>1</v>
      </c>
      <c r="F90">
        <v>54796375.380000003</v>
      </c>
      <c r="G90" s="36">
        <v>9.1300000000000006E-2</v>
      </c>
    </row>
    <row r="91" spans="1:7" x14ac:dyDescent="0.3">
      <c r="A91" t="s">
        <v>82</v>
      </c>
      <c r="B91" t="s">
        <v>49</v>
      </c>
      <c r="C91" t="s">
        <v>49</v>
      </c>
      <c r="D91" t="s">
        <v>117</v>
      </c>
      <c r="E91">
        <v>1</v>
      </c>
      <c r="F91">
        <v>49574603.719999999</v>
      </c>
      <c r="G91" s="36">
        <v>8.2600000000000007E-2</v>
      </c>
    </row>
    <row r="92" spans="1:7" x14ac:dyDescent="0.3">
      <c r="A92" t="s">
        <v>82</v>
      </c>
      <c r="B92" t="s">
        <v>49</v>
      </c>
      <c r="C92" t="s">
        <v>49</v>
      </c>
      <c r="D92" t="s">
        <v>118</v>
      </c>
      <c r="E92">
        <v>3</v>
      </c>
      <c r="F92">
        <v>141809073.65000001</v>
      </c>
      <c r="G92" s="36">
        <v>0.23649999999999999</v>
      </c>
    </row>
    <row r="93" spans="1:7" x14ac:dyDescent="0.3">
      <c r="A93" t="s">
        <v>82</v>
      </c>
      <c r="B93" t="s">
        <v>49</v>
      </c>
      <c r="C93" t="s">
        <v>49</v>
      </c>
      <c r="D93" t="s">
        <v>119</v>
      </c>
      <c r="E93">
        <v>1</v>
      </c>
      <c r="F93">
        <v>24243891.960000001</v>
      </c>
      <c r="G93" s="36">
        <v>4.0399999999999998E-2</v>
      </c>
    </row>
    <row r="94" spans="1:7" x14ac:dyDescent="0.3">
      <c r="A94" t="s">
        <v>82</v>
      </c>
      <c r="B94" t="s">
        <v>243</v>
      </c>
      <c r="C94" t="s">
        <v>243</v>
      </c>
      <c r="D94" t="s">
        <v>118</v>
      </c>
      <c r="E94">
        <v>1</v>
      </c>
      <c r="F94">
        <v>6232011.4800000004</v>
      </c>
      <c r="G94" s="36">
        <v>1.03E-2</v>
      </c>
    </row>
    <row r="95" spans="1:7" x14ac:dyDescent="0.3">
      <c r="A95" t="s">
        <v>82</v>
      </c>
      <c r="B95" t="s">
        <v>197</v>
      </c>
      <c r="C95" t="s">
        <v>227</v>
      </c>
      <c r="D95" t="s">
        <v>119</v>
      </c>
      <c r="E95">
        <v>1</v>
      </c>
      <c r="F95">
        <v>53343002.509999998</v>
      </c>
      <c r="G95" s="36">
        <v>8.8900000000000007E-2</v>
      </c>
    </row>
    <row r="96" spans="1:7" x14ac:dyDescent="0.3">
      <c r="A96" t="s">
        <v>82</v>
      </c>
      <c r="B96" t="s">
        <v>198</v>
      </c>
      <c r="C96" t="s">
        <v>49</v>
      </c>
      <c r="D96" t="s">
        <v>144</v>
      </c>
      <c r="E96">
        <v>1</v>
      </c>
      <c r="F96">
        <v>2972333.34</v>
      </c>
      <c r="G96" s="36">
        <v>4.8999999999999998E-3</v>
      </c>
    </row>
    <row r="97" spans="1:7" x14ac:dyDescent="0.3">
      <c r="A97" t="s">
        <v>82</v>
      </c>
      <c r="B97" t="s">
        <v>198</v>
      </c>
      <c r="C97" t="s">
        <v>244</v>
      </c>
      <c r="D97" t="s">
        <v>118</v>
      </c>
      <c r="E97">
        <v>1</v>
      </c>
      <c r="F97">
        <v>84144063.719999999</v>
      </c>
      <c r="G97" s="36">
        <v>0.14030000000000001</v>
      </c>
    </row>
    <row r="98" spans="1:7" x14ac:dyDescent="0.3">
      <c r="A98" t="s">
        <v>82</v>
      </c>
      <c r="B98" t="s">
        <v>143</v>
      </c>
      <c r="C98" t="s">
        <v>49</v>
      </c>
      <c r="D98" t="s">
        <v>117</v>
      </c>
      <c r="E98">
        <v>1</v>
      </c>
      <c r="F98">
        <v>4000000</v>
      </c>
      <c r="G98" s="36">
        <v>6.6E-3</v>
      </c>
    </row>
    <row r="99" spans="1:7" x14ac:dyDescent="0.3">
      <c r="A99" t="s">
        <v>82</v>
      </c>
      <c r="B99" t="s">
        <v>143</v>
      </c>
      <c r="C99" t="s">
        <v>224</v>
      </c>
      <c r="D99" t="s">
        <v>117</v>
      </c>
      <c r="E99">
        <v>1</v>
      </c>
      <c r="F99">
        <v>14243981.32</v>
      </c>
      <c r="G99" s="36">
        <v>2.3699999999999999E-2</v>
      </c>
    </row>
    <row r="100" spans="1:7" x14ac:dyDescent="0.3">
      <c r="A100" t="s">
        <v>82</v>
      </c>
      <c r="B100" t="s">
        <v>143</v>
      </c>
      <c r="C100" t="s">
        <v>224</v>
      </c>
      <c r="D100" t="s">
        <v>118</v>
      </c>
      <c r="E100">
        <v>1</v>
      </c>
      <c r="F100">
        <v>23926827.239999998</v>
      </c>
      <c r="G100" s="36">
        <v>3.9899999999999998E-2</v>
      </c>
    </row>
    <row r="101" spans="1:7" x14ac:dyDescent="0.3">
      <c r="A101" t="s">
        <v>82</v>
      </c>
      <c r="B101" t="s">
        <v>143</v>
      </c>
      <c r="C101" t="s">
        <v>224</v>
      </c>
      <c r="D101" t="s">
        <v>119</v>
      </c>
      <c r="E101">
        <v>1</v>
      </c>
      <c r="F101">
        <v>1895400.15</v>
      </c>
      <c r="G101" s="36">
        <v>3.0999999999999999E-3</v>
      </c>
    </row>
    <row r="102" spans="1:7" x14ac:dyDescent="0.3">
      <c r="A102" t="s">
        <v>259</v>
      </c>
      <c r="B102" t="s">
        <v>260</v>
      </c>
      <c r="C102" t="s">
        <v>261</v>
      </c>
      <c r="D102" t="s">
        <v>118</v>
      </c>
      <c r="E102">
        <v>1</v>
      </c>
      <c r="F102">
        <v>67808593.189999998</v>
      </c>
      <c r="G102" s="36">
        <v>0.113</v>
      </c>
    </row>
    <row r="103" spans="1:7" x14ac:dyDescent="0.3">
      <c r="A103" t="s">
        <v>259</v>
      </c>
      <c r="B103" t="s">
        <v>260</v>
      </c>
      <c r="C103" t="s">
        <v>267</v>
      </c>
      <c r="D103" t="s">
        <v>117</v>
      </c>
      <c r="E103">
        <v>1</v>
      </c>
      <c r="F103">
        <v>4338788.2300000004</v>
      </c>
      <c r="G103" s="36">
        <v>7.1999999999999998E-3</v>
      </c>
    </row>
    <row r="104" spans="1:7" x14ac:dyDescent="0.3">
      <c r="A104" t="s">
        <v>81</v>
      </c>
      <c r="B104" t="s">
        <v>265</v>
      </c>
      <c r="C104" t="s">
        <v>266</v>
      </c>
      <c r="D104" t="s">
        <v>117</v>
      </c>
      <c r="E104">
        <v>1</v>
      </c>
      <c r="F104">
        <v>29211323.07</v>
      </c>
      <c r="G104" s="36">
        <v>4.87E-2</v>
      </c>
    </row>
    <row r="105" spans="1:7" x14ac:dyDescent="0.3">
      <c r="A105" t="s">
        <v>81</v>
      </c>
      <c r="B105" t="s">
        <v>49</v>
      </c>
      <c r="C105" t="s">
        <v>49</v>
      </c>
      <c r="D105" t="s">
        <v>117</v>
      </c>
      <c r="E105">
        <v>929</v>
      </c>
      <c r="F105">
        <v>19945708075.450001</v>
      </c>
      <c r="G105" s="36">
        <v>33.264299999999999</v>
      </c>
    </row>
    <row r="106" spans="1:7" x14ac:dyDescent="0.3">
      <c r="A106" t="s">
        <v>81</v>
      </c>
      <c r="B106" t="s">
        <v>49</v>
      </c>
      <c r="C106" t="s">
        <v>49</v>
      </c>
      <c r="D106" t="s">
        <v>118</v>
      </c>
      <c r="E106">
        <v>395</v>
      </c>
      <c r="F106">
        <v>9307460355.5</v>
      </c>
      <c r="G106" s="36">
        <v>15.522399999999999</v>
      </c>
    </row>
    <row r="107" spans="1:7" x14ac:dyDescent="0.3">
      <c r="A107" t="s">
        <v>81</v>
      </c>
      <c r="B107" t="s">
        <v>49</v>
      </c>
      <c r="C107" t="s">
        <v>49</v>
      </c>
      <c r="D107" t="s">
        <v>119</v>
      </c>
      <c r="E107">
        <v>344</v>
      </c>
      <c r="F107">
        <v>6794372231.1899996</v>
      </c>
      <c r="G107" s="36">
        <v>11.331200000000001</v>
      </c>
    </row>
    <row r="108" spans="1:7" x14ac:dyDescent="0.3">
      <c r="A108" t="s">
        <v>81</v>
      </c>
      <c r="B108" t="s">
        <v>49</v>
      </c>
      <c r="C108" t="s">
        <v>49</v>
      </c>
      <c r="D108" t="s">
        <v>120</v>
      </c>
      <c r="E108">
        <v>3</v>
      </c>
      <c r="F108">
        <v>7370462</v>
      </c>
      <c r="G108" s="36">
        <v>1.2200000000000001E-2</v>
      </c>
    </row>
    <row r="109" spans="1:7" x14ac:dyDescent="0.3">
      <c r="A109" t="s">
        <v>81</v>
      </c>
      <c r="B109" t="s">
        <v>49</v>
      </c>
      <c r="C109" t="s">
        <v>49</v>
      </c>
      <c r="D109" t="s">
        <v>144</v>
      </c>
      <c r="E109">
        <v>56</v>
      </c>
      <c r="F109">
        <v>349772124.08999997</v>
      </c>
      <c r="G109" s="36">
        <v>0.58330000000000004</v>
      </c>
    </row>
    <row r="110" spans="1:7" x14ac:dyDescent="0.3">
      <c r="A110" t="s">
        <v>81</v>
      </c>
      <c r="B110" t="s">
        <v>147</v>
      </c>
      <c r="C110" t="s">
        <v>148</v>
      </c>
      <c r="D110" t="s">
        <v>117</v>
      </c>
      <c r="E110">
        <v>1</v>
      </c>
      <c r="F110">
        <v>2082663.66</v>
      </c>
      <c r="G110" s="36">
        <v>3.3999999999999998E-3</v>
      </c>
    </row>
    <row r="111" spans="1:7" x14ac:dyDescent="0.3">
      <c r="A111" t="s">
        <v>81</v>
      </c>
      <c r="B111" t="s">
        <v>147</v>
      </c>
      <c r="C111" t="s">
        <v>148</v>
      </c>
      <c r="D111" t="s">
        <v>118</v>
      </c>
      <c r="E111">
        <v>4</v>
      </c>
      <c r="F111">
        <v>96976480.620000005</v>
      </c>
      <c r="G111" s="36">
        <v>0.16170000000000001</v>
      </c>
    </row>
    <row r="112" spans="1:7" x14ac:dyDescent="0.3">
      <c r="A112" t="s">
        <v>81</v>
      </c>
      <c r="B112" t="s">
        <v>147</v>
      </c>
      <c r="C112" t="s">
        <v>148</v>
      </c>
      <c r="D112" t="s">
        <v>144</v>
      </c>
      <c r="E112">
        <v>1</v>
      </c>
      <c r="F112">
        <v>766540.81</v>
      </c>
      <c r="G112" s="36">
        <v>1.1999999999999999E-3</v>
      </c>
    </row>
    <row r="113" spans="1:7" x14ac:dyDescent="0.3">
      <c r="A113" t="s">
        <v>81</v>
      </c>
      <c r="B113" t="s">
        <v>147</v>
      </c>
      <c r="C113" t="s">
        <v>49</v>
      </c>
      <c r="D113" t="s">
        <v>117</v>
      </c>
      <c r="E113">
        <v>9</v>
      </c>
      <c r="F113">
        <v>283494972.13</v>
      </c>
      <c r="G113" s="36">
        <v>0.47270000000000001</v>
      </c>
    </row>
    <row r="114" spans="1:7" x14ac:dyDescent="0.3">
      <c r="A114" t="s">
        <v>81</v>
      </c>
      <c r="B114" t="s">
        <v>147</v>
      </c>
      <c r="C114" t="s">
        <v>49</v>
      </c>
      <c r="D114" t="s">
        <v>118</v>
      </c>
      <c r="E114">
        <v>1</v>
      </c>
      <c r="F114">
        <v>3971210.68</v>
      </c>
      <c r="G114" s="36">
        <v>6.6E-3</v>
      </c>
    </row>
    <row r="115" spans="1:7" x14ac:dyDescent="0.3">
      <c r="A115" t="s">
        <v>81</v>
      </c>
      <c r="B115" t="s">
        <v>147</v>
      </c>
      <c r="C115" t="s">
        <v>49</v>
      </c>
      <c r="D115" t="s">
        <v>144</v>
      </c>
      <c r="E115">
        <v>3</v>
      </c>
      <c r="F115">
        <v>47139327.990000002</v>
      </c>
      <c r="G115" s="36">
        <v>7.8600000000000003E-2</v>
      </c>
    </row>
    <row r="116" spans="1:7" x14ac:dyDescent="0.3">
      <c r="A116" t="s">
        <v>81</v>
      </c>
      <c r="B116" t="s">
        <v>146</v>
      </c>
      <c r="C116" t="s">
        <v>199</v>
      </c>
      <c r="D116" t="s">
        <v>117</v>
      </c>
      <c r="E116">
        <v>3</v>
      </c>
      <c r="F116">
        <v>38301967.68</v>
      </c>
      <c r="G116" s="36">
        <v>6.3799999999999996E-2</v>
      </c>
    </row>
    <row r="117" spans="1:7" x14ac:dyDescent="0.3">
      <c r="A117" t="s">
        <v>81</v>
      </c>
      <c r="B117" t="s">
        <v>146</v>
      </c>
      <c r="C117" t="s">
        <v>199</v>
      </c>
      <c r="D117" t="s">
        <v>118</v>
      </c>
      <c r="E117">
        <v>1</v>
      </c>
      <c r="F117">
        <v>59605840.359999999</v>
      </c>
      <c r="G117" s="36">
        <v>9.9400000000000002E-2</v>
      </c>
    </row>
    <row r="118" spans="1:7" x14ac:dyDescent="0.3">
      <c r="A118" t="s">
        <v>81</v>
      </c>
      <c r="B118" t="s">
        <v>146</v>
      </c>
      <c r="C118" t="s">
        <v>199</v>
      </c>
      <c r="D118" t="s">
        <v>144</v>
      </c>
      <c r="E118">
        <v>1</v>
      </c>
      <c r="F118">
        <v>2592341.04</v>
      </c>
      <c r="G118" s="36">
        <v>4.3E-3</v>
      </c>
    </row>
    <row r="119" spans="1:7" x14ac:dyDescent="0.3">
      <c r="A119" t="s">
        <v>81</v>
      </c>
      <c r="B119" t="s">
        <v>146</v>
      </c>
      <c r="C119" t="s">
        <v>270</v>
      </c>
      <c r="D119" t="s">
        <v>118</v>
      </c>
      <c r="E119">
        <v>2</v>
      </c>
      <c r="F119">
        <v>103024199.8</v>
      </c>
      <c r="G119" s="36">
        <v>0.17180000000000001</v>
      </c>
    </row>
    <row r="120" spans="1:7" x14ac:dyDescent="0.3">
      <c r="A120" t="s">
        <v>81</v>
      </c>
      <c r="B120" t="s">
        <v>146</v>
      </c>
      <c r="C120" t="s">
        <v>200</v>
      </c>
      <c r="D120" t="s">
        <v>144</v>
      </c>
      <c r="E120">
        <v>1</v>
      </c>
      <c r="F120">
        <v>821473.39</v>
      </c>
      <c r="G120" s="36">
        <v>1.2999999999999999E-3</v>
      </c>
    </row>
    <row r="121" spans="1:7" x14ac:dyDescent="0.3">
      <c r="A121" t="s">
        <v>81</v>
      </c>
      <c r="B121" t="s">
        <v>146</v>
      </c>
      <c r="C121" t="s">
        <v>262</v>
      </c>
      <c r="D121" t="s">
        <v>117</v>
      </c>
      <c r="E121">
        <v>1</v>
      </c>
      <c r="F121">
        <v>1568456.38</v>
      </c>
      <c r="G121" s="36">
        <v>2.5999999999999999E-3</v>
      </c>
    </row>
    <row r="122" spans="1:7" x14ac:dyDescent="0.3">
      <c r="A122" t="s">
        <v>81</v>
      </c>
      <c r="B122" t="s">
        <v>146</v>
      </c>
      <c r="C122" t="s">
        <v>49</v>
      </c>
      <c r="D122" t="s">
        <v>118</v>
      </c>
      <c r="E122">
        <v>1</v>
      </c>
      <c r="F122">
        <v>31649302.91</v>
      </c>
      <c r="G122" s="36">
        <v>5.2699999999999997E-2</v>
      </c>
    </row>
    <row r="123" spans="1:7" x14ac:dyDescent="0.3">
      <c r="A123" t="s">
        <v>81</v>
      </c>
      <c r="B123" t="s">
        <v>146</v>
      </c>
      <c r="C123" t="s">
        <v>49</v>
      </c>
      <c r="D123" t="s">
        <v>144</v>
      </c>
      <c r="E123">
        <v>1</v>
      </c>
      <c r="F123">
        <v>917124.54</v>
      </c>
      <c r="G123" s="36">
        <v>1.5E-3</v>
      </c>
    </row>
    <row r="124" spans="1:7" x14ac:dyDescent="0.3">
      <c r="A124" t="s">
        <v>79</v>
      </c>
      <c r="B124" t="s">
        <v>49</v>
      </c>
      <c r="C124" t="s">
        <v>49</v>
      </c>
      <c r="D124" t="s">
        <v>117</v>
      </c>
      <c r="E124">
        <v>1</v>
      </c>
      <c r="F124">
        <v>821473.39</v>
      </c>
      <c r="G124" s="36">
        <v>1.2999999999999999E-3</v>
      </c>
    </row>
    <row r="125" spans="1:7" x14ac:dyDescent="0.3">
      <c r="A125" t="s">
        <v>79</v>
      </c>
      <c r="B125" t="s">
        <v>80</v>
      </c>
      <c r="C125" t="s">
        <v>49</v>
      </c>
      <c r="D125" t="s">
        <v>117</v>
      </c>
      <c r="E125">
        <v>2</v>
      </c>
      <c r="F125">
        <v>15842196.91</v>
      </c>
      <c r="G125" s="36">
        <v>2.64E-2</v>
      </c>
    </row>
    <row r="126" spans="1:7" x14ac:dyDescent="0.3">
      <c r="A126" t="s">
        <v>79</v>
      </c>
      <c r="B126" t="s">
        <v>80</v>
      </c>
      <c r="C126" t="s">
        <v>49</v>
      </c>
      <c r="D126" t="s">
        <v>118</v>
      </c>
      <c r="E126">
        <v>3</v>
      </c>
      <c r="F126">
        <v>102745123.5</v>
      </c>
      <c r="G126" s="36">
        <v>0.17130000000000001</v>
      </c>
    </row>
    <row r="127" spans="1:7" x14ac:dyDescent="0.3">
      <c r="A127" t="s">
        <v>79</v>
      </c>
      <c r="B127" t="s">
        <v>80</v>
      </c>
      <c r="C127" t="s">
        <v>49</v>
      </c>
      <c r="D127" t="s">
        <v>119</v>
      </c>
      <c r="E127">
        <v>1</v>
      </c>
      <c r="F127">
        <v>97943273.129999995</v>
      </c>
      <c r="G127" s="36">
        <v>0.1633</v>
      </c>
    </row>
    <row r="128" spans="1:7" x14ac:dyDescent="0.3">
      <c r="A128" t="s">
        <v>79</v>
      </c>
      <c r="B128" t="s">
        <v>80</v>
      </c>
      <c r="C128" t="s">
        <v>80</v>
      </c>
      <c r="D128" t="s">
        <v>117</v>
      </c>
      <c r="E128">
        <v>16</v>
      </c>
      <c r="F128">
        <v>627638133.54999995</v>
      </c>
      <c r="G128" s="36">
        <v>1.0467</v>
      </c>
    </row>
    <row r="129" spans="1:7" x14ac:dyDescent="0.3">
      <c r="A129" t="s">
        <v>79</v>
      </c>
      <c r="B129" t="s">
        <v>80</v>
      </c>
      <c r="C129" t="s">
        <v>80</v>
      </c>
      <c r="D129" t="s">
        <v>118</v>
      </c>
      <c r="E129">
        <v>12</v>
      </c>
      <c r="F129">
        <v>629117228.15999997</v>
      </c>
      <c r="G129" s="36">
        <v>1.0491999999999999</v>
      </c>
    </row>
    <row r="130" spans="1:7" x14ac:dyDescent="0.3">
      <c r="A130" t="s">
        <v>79</v>
      </c>
      <c r="B130" t="s">
        <v>78</v>
      </c>
      <c r="C130" t="s">
        <v>116</v>
      </c>
      <c r="D130" t="s">
        <v>117</v>
      </c>
      <c r="E130">
        <v>43</v>
      </c>
      <c r="F130">
        <v>712492848.69000006</v>
      </c>
      <c r="G130" s="36">
        <v>1.1881999999999999</v>
      </c>
    </row>
    <row r="131" spans="1:7" x14ac:dyDescent="0.3">
      <c r="A131" t="s">
        <v>79</v>
      </c>
      <c r="B131" t="s">
        <v>78</v>
      </c>
      <c r="C131" t="s">
        <v>116</v>
      </c>
      <c r="D131" t="s">
        <v>118</v>
      </c>
      <c r="E131">
        <v>15</v>
      </c>
      <c r="F131">
        <v>150266007.59999999</v>
      </c>
      <c r="G131" s="36">
        <v>0.25059999999999999</v>
      </c>
    </row>
    <row r="132" spans="1:7" x14ac:dyDescent="0.3">
      <c r="A132" t="s">
        <v>79</v>
      </c>
      <c r="B132" t="s">
        <v>78</v>
      </c>
      <c r="C132" t="s">
        <v>116</v>
      </c>
      <c r="D132" t="s">
        <v>119</v>
      </c>
      <c r="E132">
        <v>9</v>
      </c>
      <c r="F132">
        <v>191356870.22</v>
      </c>
      <c r="G132" s="36">
        <v>0.31909999999999999</v>
      </c>
    </row>
    <row r="133" spans="1:7" x14ac:dyDescent="0.3">
      <c r="A133" t="s">
        <v>79</v>
      </c>
      <c r="B133" t="s">
        <v>78</v>
      </c>
      <c r="C133" t="s">
        <v>116</v>
      </c>
      <c r="D133" t="s">
        <v>144</v>
      </c>
      <c r="E133">
        <v>4</v>
      </c>
      <c r="F133">
        <v>8370520.71</v>
      </c>
      <c r="G133" s="36">
        <v>1.3899999999999999E-2</v>
      </c>
    </row>
    <row r="134" spans="1:7" x14ac:dyDescent="0.3">
      <c r="A134" t="s">
        <v>79</v>
      </c>
      <c r="B134" t="s">
        <v>78</v>
      </c>
      <c r="C134" t="s">
        <v>262</v>
      </c>
      <c r="D134" t="s">
        <v>117</v>
      </c>
      <c r="E134">
        <v>1</v>
      </c>
      <c r="F134">
        <v>8532244.9100000001</v>
      </c>
      <c r="G134" s="36">
        <v>1.4200000000000001E-2</v>
      </c>
    </row>
    <row r="135" spans="1:7" x14ac:dyDescent="0.3">
      <c r="A135" t="s">
        <v>79</v>
      </c>
      <c r="B135" t="s">
        <v>78</v>
      </c>
      <c r="C135" t="s">
        <v>49</v>
      </c>
      <c r="D135" t="s">
        <v>117</v>
      </c>
      <c r="E135">
        <v>31</v>
      </c>
      <c r="F135">
        <v>651492063.24000001</v>
      </c>
      <c r="G135" s="36">
        <v>1.0865</v>
      </c>
    </row>
    <row r="136" spans="1:7" x14ac:dyDescent="0.3">
      <c r="A136" t="s">
        <v>79</v>
      </c>
      <c r="B136" t="s">
        <v>78</v>
      </c>
      <c r="C136" t="s">
        <v>49</v>
      </c>
      <c r="D136" t="s">
        <v>118</v>
      </c>
      <c r="E136">
        <v>9</v>
      </c>
      <c r="F136">
        <v>236725256.09999999</v>
      </c>
      <c r="G136" s="36">
        <v>0.3947</v>
      </c>
    </row>
    <row r="137" spans="1:7" x14ac:dyDescent="0.3">
      <c r="A137" t="s">
        <v>79</v>
      </c>
      <c r="B137" t="s">
        <v>78</v>
      </c>
      <c r="C137" t="s">
        <v>49</v>
      </c>
      <c r="D137" t="s">
        <v>119</v>
      </c>
      <c r="E137">
        <v>4</v>
      </c>
      <c r="F137">
        <v>37063950.409999996</v>
      </c>
      <c r="G137" s="36">
        <v>6.1800000000000001E-2</v>
      </c>
    </row>
    <row r="138" spans="1:7" x14ac:dyDescent="0.3">
      <c r="A138" t="s">
        <v>79</v>
      </c>
      <c r="B138" t="s">
        <v>78</v>
      </c>
      <c r="C138" t="s">
        <v>49</v>
      </c>
      <c r="D138" t="s">
        <v>144</v>
      </c>
      <c r="E138">
        <v>2</v>
      </c>
      <c r="F138">
        <v>4013715.29</v>
      </c>
      <c r="G138" s="36">
        <v>6.6E-3</v>
      </c>
    </row>
    <row r="139" spans="1:7" x14ac:dyDescent="0.3">
      <c r="A139" t="s">
        <v>76</v>
      </c>
      <c r="B139" t="s">
        <v>77</v>
      </c>
      <c r="C139" t="s">
        <v>77</v>
      </c>
      <c r="D139" t="s">
        <v>117</v>
      </c>
      <c r="E139">
        <v>1</v>
      </c>
      <c r="F139">
        <v>58459557.880000003</v>
      </c>
      <c r="G139" s="36">
        <v>9.74E-2</v>
      </c>
    </row>
    <row r="140" spans="1:7" x14ac:dyDescent="0.3">
      <c r="A140" t="s">
        <v>76</v>
      </c>
      <c r="B140" t="s">
        <v>77</v>
      </c>
      <c r="C140" t="s">
        <v>77</v>
      </c>
      <c r="D140" t="s">
        <v>119</v>
      </c>
      <c r="E140">
        <v>1</v>
      </c>
      <c r="F140">
        <v>36354726.710000001</v>
      </c>
      <c r="G140" s="36">
        <v>6.0600000000000001E-2</v>
      </c>
    </row>
    <row r="141" spans="1:7" x14ac:dyDescent="0.3">
      <c r="A141" t="s">
        <v>76</v>
      </c>
      <c r="B141" t="s">
        <v>77</v>
      </c>
      <c r="C141" t="s">
        <v>49</v>
      </c>
      <c r="D141" t="s">
        <v>144</v>
      </c>
      <c r="E141">
        <v>1</v>
      </c>
      <c r="F141">
        <v>10662486.960000001</v>
      </c>
      <c r="G141" s="36">
        <v>1.77E-2</v>
      </c>
    </row>
    <row r="142" spans="1:7" x14ac:dyDescent="0.3">
      <c r="A142" t="s">
        <v>76</v>
      </c>
      <c r="B142" t="s">
        <v>49</v>
      </c>
      <c r="C142" t="s">
        <v>49</v>
      </c>
      <c r="D142" t="s">
        <v>117</v>
      </c>
      <c r="E142">
        <v>1</v>
      </c>
      <c r="F142">
        <v>2000000</v>
      </c>
      <c r="G142" s="36">
        <v>3.3E-3</v>
      </c>
    </row>
    <row r="143" spans="1:7" x14ac:dyDescent="0.3">
      <c r="A143" t="s">
        <v>76</v>
      </c>
      <c r="B143" t="s">
        <v>49</v>
      </c>
      <c r="C143" t="s">
        <v>49</v>
      </c>
      <c r="D143" t="s">
        <v>118</v>
      </c>
      <c r="E143">
        <v>1</v>
      </c>
      <c r="F143">
        <v>71298538.689999998</v>
      </c>
      <c r="G143" s="36">
        <v>0.11890000000000001</v>
      </c>
    </row>
    <row r="144" spans="1:7" x14ac:dyDescent="0.3">
      <c r="A144" t="s">
        <v>76</v>
      </c>
      <c r="B144" t="s">
        <v>49</v>
      </c>
      <c r="C144" t="s">
        <v>49</v>
      </c>
      <c r="D144" t="s">
        <v>119</v>
      </c>
      <c r="E144">
        <v>2</v>
      </c>
      <c r="F144">
        <v>89989681.340000004</v>
      </c>
      <c r="G144" s="36">
        <v>0.15</v>
      </c>
    </row>
    <row r="145" spans="1:7" x14ac:dyDescent="0.3">
      <c r="A145" t="s">
        <v>76</v>
      </c>
      <c r="B145" t="s">
        <v>49</v>
      </c>
      <c r="C145" t="s">
        <v>49</v>
      </c>
      <c r="D145" t="s">
        <v>120</v>
      </c>
      <c r="E145">
        <v>1</v>
      </c>
      <c r="F145">
        <v>59107.24</v>
      </c>
      <c r="G145" s="36">
        <v>0</v>
      </c>
    </row>
    <row r="146" spans="1:7" x14ac:dyDescent="0.3">
      <c r="A146" t="s">
        <v>76</v>
      </c>
      <c r="B146" t="s">
        <v>49</v>
      </c>
      <c r="C146" t="s">
        <v>49</v>
      </c>
      <c r="D146" t="s">
        <v>144</v>
      </c>
      <c r="E146">
        <v>1</v>
      </c>
      <c r="F146">
        <v>1089209.43</v>
      </c>
      <c r="G146" s="36">
        <v>1.8E-3</v>
      </c>
    </row>
    <row r="147" spans="1:7" x14ac:dyDescent="0.3">
      <c r="A147" t="s">
        <v>76</v>
      </c>
      <c r="B147" t="s">
        <v>75</v>
      </c>
      <c r="C147" t="s">
        <v>127</v>
      </c>
      <c r="D147" t="s">
        <v>118</v>
      </c>
      <c r="E147">
        <v>1</v>
      </c>
      <c r="F147">
        <v>4882734.4000000004</v>
      </c>
      <c r="G147" s="36">
        <v>8.0999999999999996E-3</v>
      </c>
    </row>
    <row r="148" spans="1:7" x14ac:dyDescent="0.3">
      <c r="A148" t="s">
        <v>76</v>
      </c>
      <c r="B148" t="s">
        <v>75</v>
      </c>
      <c r="C148" t="s">
        <v>127</v>
      </c>
      <c r="D148" t="s">
        <v>144</v>
      </c>
      <c r="E148">
        <v>2</v>
      </c>
      <c r="F148">
        <v>20449629.07</v>
      </c>
      <c r="G148" s="36">
        <v>3.4099999999999998E-2</v>
      </c>
    </row>
    <row r="149" spans="1:7" x14ac:dyDescent="0.3">
      <c r="A149" t="s">
        <v>76</v>
      </c>
      <c r="B149" t="s">
        <v>75</v>
      </c>
      <c r="C149" t="s">
        <v>105</v>
      </c>
      <c r="D149" t="s">
        <v>117</v>
      </c>
      <c r="E149">
        <v>2</v>
      </c>
      <c r="F149">
        <v>47241787.689999998</v>
      </c>
      <c r="G149" s="36">
        <v>7.8700000000000006E-2</v>
      </c>
    </row>
    <row r="150" spans="1:7" x14ac:dyDescent="0.3">
      <c r="A150" t="s">
        <v>76</v>
      </c>
      <c r="B150" t="s">
        <v>75</v>
      </c>
      <c r="C150" t="s">
        <v>105</v>
      </c>
      <c r="D150" t="s">
        <v>118</v>
      </c>
      <c r="E150">
        <v>2</v>
      </c>
      <c r="F150">
        <v>98521009.280000001</v>
      </c>
      <c r="G150" s="36">
        <v>0.1643</v>
      </c>
    </row>
    <row r="151" spans="1:7" x14ac:dyDescent="0.3">
      <c r="A151" t="s">
        <v>76</v>
      </c>
      <c r="B151" t="s">
        <v>75</v>
      </c>
      <c r="C151" t="s">
        <v>49</v>
      </c>
      <c r="D151" t="s">
        <v>117</v>
      </c>
      <c r="E151">
        <v>1</v>
      </c>
      <c r="F151">
        <v>70000000</v>
      </c>
      <c r="G151" s="36">
        <v>0.1167</v>
      </c>
    </row>
    <row r="152" spans="1:7" x14ac:dyDescent="0.3">
      <c r="A152" t="s">
        <v>76</v>
      </c>
      <c r="B152" t="s">
        <v>75</v>
      </c>
      <c r="C152" t="s">
        <v>49</v>
      </c>
      <c r="D152" t="s">
        <v>144</v>
      </c>
      <c r="E152">
        <v>1</v>
      </c>
      <c r="F152">
        <v>684829.28</v>
      </c>
      <c r="G152" s="36">
        <v>1.1000000000000001E-3</v>
      </c>
    </row>
    <row r="153" spans="1:7" x14ac:dyDescent="0.3">
      <c r="A153" t="s">
        <v>76</v>
      </c>
      <c r="B153" t="s">
        <v>75</v>
      </c>
      <c r="C153" t="s">
        <v>75</v>
      </c>
      <c r="D153" t="s">
        <v>117</v>
      </c>
      <c r="E153">
        <v>5</v>
      </c>
      <c r="F153">
        <v>89696571.760000005</v>
      </c>
      <c r="G153" s="36">
        <v>0.14949999999999999</v>
      </c>
    </row>
    <row r="154" spans="1:7" x14ac:dyDescent="0.3">
      <c r="A154" t="s">
        <v>76</v>
      </c>
      <c r="B154" t="s">
        <v>75</v>
      </c>
      <c r="C154" t="s">
        <v>75</v>
      </c>
      <c r="D154" t="s">
        <v>118</v>
      </c>
      <c r="E154">
        <v>7</v>
      </c>
      <c r="F154">
        <v>136443743.22999999</v>
      </c>
      <c r="G154" s="36">
        <v>0.22750000000000001</v>
      </c>
    </row>
    <row r="155" spans="1:7" x14ac:dyDescent="0.3">
      <c r="A155" t="s">
        <v>76</v>
      </c>
      <c r="B155" t="s">
        <v>75</v>
      </c>
      <c r="C155" t="s">
        <v>75</v>
      </c>
      <c r="D155" t="s">
        <v>119</v>
      </c>
      <c r="E155">
        <v>2</v>
      </c>
      <c r="F155">
        <v>12544544.810000001</v>
      </c>
      <c r="G155" s="36">
        <v>2.0899999999999998E-2</v>
      </c>
    </row>
    <row r="156" spans="1:7" x14ac:dyDescent="0.3">
      <c r="A156" t="s">
        <v>58</v>
      </c>
      <c r="B156" t="s">
        <v>73</v>
      </c>
      <c r="C156" t="s">
        <v>74</v>
      </c>
      <c r="D156" t="s">
        <v>117</v>
      </c>
      <c r="E156">
        <v>9</v>
      </c>
      <c r="F156">
        <v>97398799.280000001</v>
      </c>
      <c r="G156" s="36">
        <v>0.16239999999999999</v>
      </c>
    </row>
    <row r="157" spans="1:7" x14ac:dyDescent="0.3">
      <c r="A157" t="s">
        <v>58</v>
      </c>
      <c r="B157" t="s">
        <v>73</v>
      </c>
      <c r="C157" t="s">
        <v>74</v>
      </c>
      <c r="D157" t="s">
        <v>118</v>
      </c>
      <c r="E157">
        <v>4</v>
      </c>
      <c r="F157">
        <v>36225523.939999998</v>
      </c>
      <c r="G157" s="36">
        <v>6.0400000000000002E-2</v>
      </c>
    </row>
    <row r="158" spans="1:7" x14ac:dyDescent="0.3">
      <c r="A158" t="s">
        <v>58</v>
      </c>
      <c r="B158" t="s">
        <v>73</v>
      </c>
      <c r="C158" t="s">
        <v>74</v>
      </c>
      <c r="D158" t="s">
        <v>119</v>
      </c>
      <c r="E158">
        <v>3</v>
      </c>
      <c r="F158">
        <v>15602212.720000001</v>
      </c>
      <c r="G158" s="36">
        <v>2.5999999999999999E-2</v>
      </c>
    </row>
    <row r="159" spans="1:7" x14ac:dyDescent="0.3">
      <c r="A159" t="s">
        <v>58</v>
      </c>
      <c r="B159" t="s">
        <v>73</v>
      </c>
      <c r="C159" t="s">
        <v>74</v>
      </c>
      <c r="D159" t="s">
        <v>144</v>
      </c>
      <c r="E159">
        <v>2</v>
      </c>
      <c r="F159">
        <v>6061085.9100000001</v>
      </c>
      <c r="G159" s="36">
        <v>1.01E-2</v>
      </c>
    </row>
    <row r="160" spans="1:7" x14ac:dyDescent="0.3">
      <c r="A160" t="s">
        <v>58</v>
      </c>
      <c r="B160" t="s">
        <v>73</v>
      </c>
      <c r="C160" t="s">
        <v>49</v>
      </c>
      <c r="D160" t="s">
        <v>117</v>
      </c>
      <c r="E160">
        <v>1</v>
      </c>
      <c r="F160">
        <v>80000000</v>
      </c>
      <c r="G160" s="36">
        <v>0.13339999999999999</v>
      </c>
    </row>
    <row r="161" spans="1:7" x14ac:dyDescent="0.3">
      <c r="A161" t="s">
        <v>58</v>
      </c>
      <c r="B161" t="s">
        <v>73</v>
      </c>
      <c r="C161" t="s">
        <v>49</v>
      </c>
      <c r="D161" t="s">
        <v>144</v>
      </c>
      <c r="E161">
        <v>1</v>
      </c>
      <c r="F161">
        <v>0</v>
      </c>
      <c r="G161" s="36">
        <v>0</v>
      </c>
    </row>
    <row r="162" spans="1:7" x14ac:dyDescent="0.3">
      <c r="A162" t="s">
        <v>58</v>
      </c>
      <c r="B162" t="s">
        <v>73</v>
      </c>
      <c r="C162" t="s">
        <v>245</v>
      </c>
      <c r="D162" t="s">
        <v>117</v>
      </c>
      <c r="E162">
        <v>1</v>
      </c>
      <c r="F162">
        <v>26719710.09</v>
      </c>
      <c r="G162" s="36">
        <v>4.4499999999999998E-2</v>
      </c>
    </row>
    <row r="163" spans="1:7" x14ac:dyDescent="0.3">
      <c r="A163" t="s">
        <v>58</v>
      </c>
      <c r="B163" t="s">
        <v>72</v>
      </c>
      <c r="C163" t="s">
        <v>257</v>
      </c>
      <c r="D163" t="s">
        <v>117</v>
      </c>
      <c r="E163">
        <v>1</v>
      </c>
      <c r="F163">
        <v>47708772.359999999</v>
      </c>
      <c r="G163" s="36">
        <v>7.9500000000000001E-2</v>
      </c>
    </row>
    <row r="164" spans="1:7" x14ac:dyDescent="0.3">
      <c r="A164" t="s">
        <v>58</v>
      </c>
      <c r="B164" t="s">
        <v>72</v>
      </c>
      <c r="C164" t="s">
        <v>145</v>
      </c>
      <c r="D164" t="s">
        <v>117</v>
      </c>
      <c r="E164">
        <v>5</v>
      </c>
      <c r="F164">
        <v>50385078.020000003</v>
      </c>
      <c r="G164" s="36">
        <v>8.4000000000000005E-2</v>
      </c>
    </row>
    <row r="165" spans="1:7" x14ac:dyDescent="0.3">
      <c r="A165" t="s">
        <v>58</v>
      </c>
      <c r="B165" t="s">
        <v>72</v>
      </c>
      <c r="C165" t="s">
        <v>145</v>
      </c>
      <c r="D165" t="s">
        <v>144</v>
      </c>
      <c r="E165">
        <v>1</v>
      </c>
      <c r="F165">
        <v>3037151.76</v>
      </c>
      <c r="G165" s="36">
        <v>5.0000000000000001E-3</v>
      </c>
    </row>
    <row r="166" spans="1:7" x14ac:dyDescent="0.3">
      <c r="A166" t="s">
        <v>58</v>
      </c>
      <c r="B166" t="s">
        <v>72</v>
      </c>
      <c r="C166" t="s">
        <v>49</v>
      </c>
      <c r="D166" t="s">
        <v>117</v>
      </c>
      <c r="E166">
        <v>2</v>
      </c>
      <c r="F166">
        <v>14579983.85</v>
      </c>
      <c r="G166" s="36">
        <v>2.4299999999999999E-2</v>
      </c>
    </row>
    <row r="167" spans="1:7" x14ac:dyDescent="0.3">
      <c r="A167" t="s">
        <v>58</v>
      </c>
      <c r="B167" t="s">
        <v>72</v>
      </c>
      <c r="C167" t="s">
        <v>123</v>
      </c>
      <c r="D167" t="s">
        <v>117</v>
      </c>
      <c r="E167">
        <v>8</v>
      </c>
      <c r="F167">
        <v>200671631.63</v>
      </c>
      <c r="G167" s="36">
        <v>0.33460000000000001</v>
      </c>
    </row>
    <row r="168" spans="1:7" x14ac:dyDescent="0.3">
      <c r="A168" t="s">
        <v>58</v>
      </c>
      <c r="B168" t="s">
        <v>72</v>
      </c>
      <c r="C168" t="s">
        <v>123</v>
      </c>
      <c r="D168" t="s">
        <v>118</v>
      </c>
      <c r="E168">
        <v>3</v>
      </c>
      <c r="F168">
        <v>41692600.700000003</v>
      </c>
      <c r="G168" s="36">
        <v>6.9500000000000006E-2</v>
      </c>
    </row>
    <row r="169" spans="1:7" x14ac:dyDescent="0.3">
      <c r="A169" t="s">
        <v>58</v>
      </c>
      <c r="B169" t="s">
        <v>72</v>
      </c>
      <c r="C169" t="s">
        <v>123</v>
      </c>
      <c r="D169" t="s">
        <v>144</v>
      </c>
      <c r="E169">
        <v>1</v>
      </c>
      <c r="F169">
        <v>5688919.3399999999</v>
      </c>
      <c r="G169" s="36">
        <v>9.4000000000000004E-3</v>
      </c>
    </row>
    <row r="170" spans="1:7" x14ac:dyDescent="0.3">
      <c r="A170" t="s">
        <v>58</v>
      </c>
      <c r="B170" t="s">
        <v>70</v>
      </c>
      <c r="C170" t="s">
        <v>246</v>
      </c>
      <c r="D170" t="s">
        <v>117</v>
      </c>
      <c r="E170">
        <v>1</v>
      </c>
      <c r="F170">
        <v>2440457.5</v>
      </c>
      <c r="G170" s="36">
        <v>4.0000000000000001E-3</v>
      </c>
    </row>
    <row r="171" spans="1:7" x14ac:dyDescent="0.3">
      <c r="A171" t="s">
        <v>58</v>
      </c>
      <c r="B171" t="s">
        <v>70</v>
      </c>
      <c r="C171" t="s">
        <v>71</v>
      </c>
      <c r="D171" t="s">
        <v>117</v>
      </c>
      <c r="E171">
        <v>1</v>
      </c>
      <c r="F171">
        <v>4592685.58</v>
      </c>
      <c r="G171" s="36">
        <v>7.6E-3</v>
      </c>
    </row>
    <row r="172" spans="1:7" x14ac:dyDescent="0.3">
      <c r="A172" t="s">
        <v>58</v>
      </c>
      <c r="B172" t="s">
        <v>70</v>
      </c>
      <c r="C172" t="s">
        <v>71</v>
      </c>
      <c r="D172" t="s">
        <v>118</v>
      </c>
      <c r="E172">
        <v>3</v>
      </c>
      <c r="F172">
        <v>74988585.180000007</v>
      </c>
      <c r="G172" s="36">
        <v>0.125</v>
      </c>
    </row>
    <row r="173" spans="1:7" x14ac:dyDescent="0.3">
      <c r="A173" t="s">
        <v>58</v>
      </c>
      <c r="B173" t="s">
        <v>70</v>
      </c>
      <c r="C173" t="s">
        <v>258</v>
      </c>
      <c r="D173" t="s">
        <v>117</v>
      </c>
      <c r="E173">
        <v>3</v>
      </c>
      <c r="F173">
        <v>8197735.6799999997</v>
      </c>
      <c r="G173" s="36">
        <v>1.3599999999999999E-2</v>
      </c>
    </row>
    <row r="174" spans="1:7" x14ac:dyDescent="0.3">
      <c r="A174" t="s">
        <v>58</v>
      </c>
      <c r="B174" t="s">
        <v>70</v>
      </c>
      <c r="C174" t="s">
        <v>258</v>
      </c>
      <c r="D174" t="s">
        <v>118</v>
      </c>
      <c r="E174">
        <v>1</v>
      </c>
      <c r="F174">
        <v>7809818.79</v>
      </c>
      <c r="G174" s="36">
        <v>1.2999999999999999E-2</v>
      </c>
    </row>
    <row r="175" spans="1:7" x14ac:dyDescent="0.3">
      <c r="A175" t="s">
        <v>58</v>
      </c>
      <c r="B175" t="s">
        <v>70</v>
      </c>
      <c r="C175" t="s">
        <v>150</v>
      </c>
      <c r="D175" t="s">
        <v>117</v>
      </c>
      <c r="E175">
        <v>1</v>
      </c>
      <c r="F175">
        <v>12967135.890000001</v>
      </c>
      <c r="G175" s="36">
        <v>2.1600000000000001E-2</v>
      </c>
    </row>
    <row r="176" spans="1:7" x14ac:dyDescent="0.3">
      <c r="A176" t="s">
        <v>58</v>
      </c>
      <c r="B176" t="s">
        <v>70</v>
      </c>
      <c r="C176" t="s">
        <v>150</v>
      </c>
      <c r="D176" t="s">
        <v>144</v>
      </c>
      <c r="E176">
        <v>1</v>
      </c>
      <c r="F176">
        <v>1507342.24</v>
      </c>
      <c r="G176" s="36">
        <v>2.5000000000000001E-3</v>
      </c>
    </row>
    <row r="177" spans="1:7" x14ac:dyDescent="0.3">
      <c r="A177" t="s">
        <v>58</v>
      </c>
      <c r="B177" t="s">
        <v>70</v>
      </c>
      <c r="C177" t="s">
        <v>219</v>
      </c>
      <c r="D177" t="s">
        <v>117</v>
      </c>
      <c r="E177">
        <v>1</v>
      </c>
      <c r="F177">
        <v>1740497.63</v>
      </c>
      <c r="G177" s="36">
        <v>2.8999999999999998E-3</v>
      </c>
    </row>
    <row r="178" spans="1:7" x14ac:dyDescent="0.3">
      <c r="A178" t="s">
        <v>58</v>
      </c>
      <c r="B178" t="s">
        <v>70</v>
      </c>
      <c r="C178" t="s">
        <v>219</v>
      </c>
      <c r="D178" t="s">
        <v>118</v>
      </c>
      <c r="E178">
        <v>1</v>
      </c>
      <c r="F178">
        <v>2926834.03</v>
      </c>
      <c r="G178" s="36">
        <v>4.7999999999999996E-3</v>
      </c>
    </row>
    <row r="179" spans="1:7" x14ac:dyDescent="0.3">
      <c r="A179" t="s">
        <v>58</v>
      </c>
      <c r="B179" t="s">
        <v>70</v>
      </c>
      <c r="C179" t="s">
        <v>219</v>
      </c>
      <c r="D179" t="s">
        <v>119</v>
      </c>
      <c r="E179">
        <v>1</v>
      </c>
      <c r="F179">
        <v>1951222.69</v>
      </c>
      <c r="G179" s="36">
        <v>3.2000000000000002E-3</v>
      </c>
    </row>
    <row r="180" spans="1:7" x14ac:dyDescent="0.3">
      <c r="A180" t="s">
        <v>58</v>
      </c>
      <c r="B180" t="s">
        <v>70</v>
      </c>
      <c r="C180" t="s">
        <v>124</v>
      </c>
      <c r="D180" t="s">
        <v>117</v>
      </c>
      <c r="E180">
        <v>6</v>
      </c>
      <c r="F180">
        <v>18803704.699999999</v>
      </c>
      <c r="G180" s="36">
        <v>3.1300000000000001E-2</v>
      </c>
    </row>
    <row r="181" spans="1:7" x14ac:dyDescent="0.3">
      <c r="A181" t="s">
        <v>58</v>
      </c>
      <c r="B181" t="s">
        <v>70</v>
      </c>
      <c r="C181" t="s">
        <v>124</v>
      </c>
      <c r="D181" t="s">
        <v>118</v>
      </c>
      <c r="E181">
        <v>1</v>
      </c>
      <c r="F181">
        <v>7809818.79</v>
      </c>
      <c r="G181" s="36">
        <v>1.2999999999999999E-2</v>
      </c>
    </row>
    <row r="182" spans="1:7" x14ac:dyDescent="0.3">
      <c r="A182" t="s">
        <v>58</v>
      </c>
      <c r="B182" t="s">
        <v>70</v>
      </c>
      <c r="C182" t="s">
        <v>152</v>
      </c>
      <c r="D182" t="s">
        <v>118</v>
      </c>
      <c r="E182">
        <v>3</v>
      </c>
      <c r="F182">
        <v>9146949.0099999998</v>
      </c>
      <c r="G182" s="36">
        <v>1.52E-2</v>
      </c>
    </row>
    <row r="183" spans="1:7" x14ac:dyDescent="0.3">
      <c r="A183" t="s">
        <v>58</v>
      </c>
      <c r="B183" t="s">
        <v>70</v>
      </c>
      <c r="C183" t="s">
        <v>49</v>
      </c>
      <c r="D183" t="s">
        <v>117</v>
      </c>
      <c r="E183">
        <v>4</v>
      </c>
      <c r="F183">
        <v>129642809.58</v>
      </c>
      <c r="G183" s="36">
        <v>0.2162</v>
      </c>
    </row>
    <row r="184" spans="1:7" x14ac:dyDescent="0.3">
      <c r="A184" t="s">
        <v>58</v>
      </c>
      <c r="B184" t="s">
        <v>70</v>
      </c>
      <c r="C184" t="s">
        <v>49</v>
      </c>
      <c r="D184" t="s">
        <v>118</v>
      </c>
      <c r="E184">
        <v>2</v>
      </c>
      <c r="F184">
        <v>33674150.299999997</v>
      </c>
      <c r="G184" s="36">
        <v>5.6099999999999997E-2</v>
      </c>
    </row>
    <row r="185" spans="1:7" x14ac:dyDescent="0.3">
      <c r="A185" t="s">
        <v>58</v>
      </c>
      <c r="B185" t="s">
        <v>70</v>
      </c>
      <c r="C185" t="s">
        <v>49</v>
      </c>
      <c r="D185" t="s">
        <v>144</v>
      </c>
      <c r="E185">
        <v>2</v>
      </c>
      <c r="F185">
        <v>11897987.92</v>
      </c>
      <c r="G185" s="36">
        <v>1.9800000000000002E-2</v>
      </c>
    </row>
    <row r="186" spans="1:7" x14ac:dyDescent="0.3">
      <c r="A186" t="s">
        <v>58</v>
      </c>
      <c r="B186" t="s">
        <v>68</v>
      </c>
      <c r="C186" t="s">
        <v>69</v>
      </c>
      <c r="D186" t="s">
        <v>144</v>
      </c>
      <c r="E186">
        <v>1</v>
      </c>
      <c r="F186">
        <v>3332632.98</v>
      </c>
      <c r="G186" s="36">
        <v>5.4999999999999997E-3</v>
      </c>
    </row>
    <row r="187" spans="1:7" x14ac:dyDescent="0.3">
      <c r="A187" t="s">
        <v>58</v>
      </c>
      <c r="B187" t="s">
        <v>68</v>
      </c>
      <c r="C187" t="s">
        <v>207</v>
      </c>
      <c r="D187" t="s">
        <v>144</v>
      </c>
      <c r="E187">
        <v>1</v>
      </c>
      <c r="F187">
        <v>7101000.0800000001</v>
      </c>
      <c r="G187" s="36">
        <v>1.18E-2</v>
      </c>
    </row>
    <row r="188" spans="1:7" x14ac:dyDescent="0.3">
      <c r="A188" t="s">
        <v>58</v>
      </c>
      <c r="B188" t="s">
        <v>66</v>
      </c>
      <c r="C188" t="s">
        <v>67</v>
      </c>
      <c r="D188" t="s">
        <v>117</v>
      </c>
      <c r="E188">
        <v>49</v>
      </c>
      <c r="F188">
        <v>523496204.25</v>
      </c>
      <c r="G188" s="36">
        <v>0.873</v>
      </c>
    </row>
    <row r="189" spans="1:7" x14ac:dyDescent="0.3">
      <c r="A189" t="s">
        <v>58</v>
      </c>
      <c r="B189" t="s">
        <v>66</v>
      </c>
      <c r="C189" t="s">
        <v>67</v>
      </c>
      <c r="D189" t="s">
        <v>118</v>
      </c>
      <c r="E189">
        <v>29</v>
      </c>
      <c r="F189">
        <v>342551344.47000003</v>
      </c>
      <c r="G189" s="36">
        <v>0.57120000000000004</v>
      </c>
    </row>
    <row r="190" spans="1:7" x14ac:dyDescent="0.3">
      <c r="A190" t="s">
        <v>58</v>
      </c>
      <c r="B190" t="s">
        <v>66</v>
      </c>
      <c r="C190" t="s">
        <v>67</v>
      </c>
      <c r="D190" t="s">
        <v>119</v>
      </c>
      <c r="E190">
        <v>13</v>
      </c>
      <c r="F190">
        <v>129291433.45999999</v>
      </c>
      <c r="G190" s="36">
        <v>0.21560000000000001</v>
      </c>
    </row>
    <row r="191" spans="1:7" x14ac:dyDescent="0.3">
      <c r="A191" t="s">
        <v>58</v>
      </c>
      <c r="B191" t="s">
        <v>66</v>
      </c>
      <c r="C191" t="s">
        <v>67</v>
      </c>
      <c r="D191" t="s">
        <v>120</v>
      </c>
      <c r="E191">
        <v>1</v>
      </c>
      <c r="F191">
        <v>31756.92</v>
      </c>
      <c r="G191" s="36">
        <v>0</v>
      </c>
    </row>
    <row r="192" spans="1:7" x14ac:dyDescent="0.3">
      <c r="A192" t="s">
        <v>58</v>
      </c>
      <c r="B192" t="s">
        <v>66</v>
      </c>
      <c r="C192" t="s">
        <v>67</v>
      </c>
      <c r="D192" t="s">
        <v>144</v>
      </c>
      <c r="E192">
        <v>11</v>
      </c>
      <c r="F192">
        <v>73656908.060000002</v>
      </c>
      <c r="G192" s="36">
        <v>0.12280000000000001</v>
      </c>
    </row>
    <row r="193" spans="1:7" x14ac:dyDescent="0.3">
      <c r="A193" t="s">
        <v>58</v>
      </c>
      <c r="B193" t="s">
        <v>66</v>
      </c>
      <c r="C193" t="s">
        <v>49</v>
      </c>
      <c r="D193" t="s">
        <v>117</v>
      </c>
      <c r="E193">
        <v>1</v>
      </c>
      <c r="F193">
        <v>5577227.4900000002</v>
      </c>
      <c r="G193" s="36">
        <v>9.2999999999999992E-3</v>
      </c>
    </row>
    <row r="194" spans="1:7" x14ac:dyDescent="0.3">
      <c r="A194" t="s">
        <v>58</v>
      </c>
      <c r="B194" t="s">
        <v>66</v>
      </c>
      <c r="C194" t="s">
        <v>49</v>
      </c>
      <c r="D194" t="s">
        <v>144</v>
      </c>
      <c r="E194">
        <v>4</v>
      </c>
      <c r="F194">
        <v>13267919.699999999</v>
      </c>
      <c r="G194" s="36">
        <v>2.2100000000000002E-2</v>
      </c>
    </row>
    <row r="195" spans="1:7" x14ac:dyDescent="0.3">
      <c r="A195" t="s">
        <v>58</v>
      </c>
      <c r="B195" t="s">
        <v>64</v>
      </c>
      <c r="C195" t="s">
        <v>65</v>
      </c>
      <c r="D195" t="s">
        <v>118</v>
      </c>
      <c r="E195">
        <v>2</v>
      </c>
      <c r="F195">
        <v>19853077.379999999</v>
      </c>
      <c r="G195" s="36">
        <v>3.3099999999999997E-2</v>
      </c>
    </row>
    <row r="196" spans="1:7" x14ac:dyDescent="0.3">
      <c r="A196" t="s">
        <v>58</v>
      </c>
      <c r="B196" t="s">
        <v>64</v>
      </c>
      <c r="C196" t="s">
        <v>137</v>
      </c>
      <c r="D196" t="s">
        <v>118</v>
      </c>
      <c r="E196">
        <v>1</v>
      </c>
      <c r="F196">
        <v>691854.69</v>
      </c>
      <c r="G196" s="36">
        <v>1.1000000000000001E-3</v>
      </c>
    </row>
    <row r="197" spans="1:7" x14ac:dyDescent="0.3">
      <c r="A197" t="s">
        <v>58</v>
      </c>
      <c r="B197" t="s">
        <v>64</v>
      </c>
      <c r="C197" t="s">
        <v>137</v>
      </c>
      <c r="D197" t="s">
        <v>144</v>
      </c>
      <c r="E197">
        <v>1</v>
      </c>
      <c r="F197">
        <v>1027167.2</v>
      </c>
      <c r="G197" s="36">
        <v>1.6999999999999999E-3</v>
      </c>
    </row>
    <row r="198" spans="1:7" x14ac:dyDescent="0.3">
      <c r="A198" t="s">
        <v>58</v>
      </c>
      <c r="B198" t="s">
        <v>63</v>
      </c>
      <c r="C198" t="s">
        <v>247</v>
      </c>
      <c r="D198" t="s">
        <v>117</v>
      </c>
      <c r="E198">
        <v>1</v>
      </c>
      <c r="F198">
        <v>4434587.76</v>
      </c>
      <c r="G198" s="36">
        <v>7.3000000000000001E-3</v>
      </c>
    </row>
    <row r="199" spans="1:7" x14ac:dyDescent="0.3">
      <c r="A199" t="s">
        <v>58</v>
      </c>
      <c r="B199" t="s">
        <v>63</v>
      </c>
      <c r="C199" t="s">
        <v>248</v>
      </c>
      <c r="D199" t="s">
        <v>117</v>
      </c>
      <c r="E199">
        <v>1</v>
      </c>
      <c r="F199">
        <v>1810250.4</v>
      </c>
      <c r="G199" s="36">
        <v>3.0000000000000001E-3</v>
      </c>
    </row>
    <row r="200" spans="1:7" x14ac:dyDescent="0.3">
      <c r="A200" t="s">
        <v>58</v>
      </c>
      <c r="B200" t="s">
        <v>63</v>
      </c>
      <c r="C200" t="s">
        <v>248</v>
      </c>
      <c r="D200" t="s">
        <v>118</v>
      </c>
      <c r="E200">
        <v>2</v>
      </c>
      <c r="F200">
        <v>10621998.09</v>
      </c>
      <c r="G200" s="36">
        <v>1.77E-2</v>
      </c>
    </row>
    <row r="201" spans="1:7" x14ac:dyDescent="0.3">
      <c r="A201" t="s">
        <v>58</v>
      </c>
      <c r="B201" t="s">
        <v>63</v>
      </c>
      <c r="C201" t="s">
        <v>249</v>
      </c>
      <c r="D201" t="s">
        <v>117</v>
      </c>
      <c r="E201">
        <v>1</v>
      </c>
      <c r="F201">
        <v>4524970.57</v>
      </c>
      <c r="G201" s="36">
        <v>7.4999999999999997E-3</v>
      </c>
    </row>
    <row r="202" spans="1:7" x14ac:dyDescent="0.3">
      <c r="A202" t="s">
        <v>58</v>
      </c>
      <c r="B202" t="s">
        <v>63</v>
      </c>
      <c r="C202" t="s">
        <v>201</v>
      </c>
      <c r="D202" t="s">
        <v>117</v>
      </c>
      <c r="E202">
        <v>1</v>
      </c>
      <c r="F202">
        <v>3857841.58</v>
      </c>
      <c r="G202" s="36">
        <v>6.4000000000000003E-3</v>
      </c>
    </row>
    <row r="203" spans="1:7" x14ac:dyDescent="0.3">
      <c r="A203" t="s">
        <v>58</v>
      </c>
      <c r="B203" t="s">
        <v>63</v>
      </c>
      <c r="C203" t="s">
        <v>201</v>
      </c>
      <c r="D203" t="s">
        <v>144</v>
      </c>
      <c r="E203">
        <v>1</v>
      </c>
      <c r="F203">
        <v>4255373.5999999996</v>
      </c>
      <c r="G203" s="36">
        <v>7.0000000000000001E-3</v>
      </c>
    </row>
    <row r="204" spans="1:7" x14ac:dyDescent="0.3">
      <c r="A204" t="s">
        <v>58</v>
      </c>
      <c r="B204" t="s">
        <v>63</v>
      </c>
      <c r="C204" t="s">
        <v>49</v>
      </c>
      <c r="D204" t="s">
        <v>118</v>
      </c>
      <c r="E204">
        <v>1</v>
      </c>
      <c r="F204">
        <v>900179.44</v>
      </c>
      <c r="G204" s="36">
        <v>1.5E-3</v>
      </c>
    </row>
    <row r="205" spans="1:7" x14ac:dyDescent="0.3">
      <c r="A205" t="s">
        <v>58</v>
      </c>
      <c r="B205" t="s">
        <v>63</v>
      </c>
      <c r="C205" t="s">
        <v>49</v>
      </c>
      <c r="D205" t="s">
        <v>119</v>
      </c>
      <c r="E205">
        <v>2</v>
      </c>
      <c r="F205">
        <v>5500000</v>
      </c>
      <c r="G205" s="36">
        <v>9.1000000000000004E-3</v>
      </c>
    </row>
    <row r="206" spans="1:7" x14ac:dyDescent="0.3">
      <c r="A206" t="s">
        <v>58</v>
      </c>
      <c r="B206" t="s">
        <v>63</v>
      </c>
      <c r="C206" t="s">
        <v>49</v>
      </c>
      <c r="D206" t="s">
        <v>144</v>
      </c>
      <c r="E206">
        <v>6</v>
      </c>
      <c r="F206">
        <v>9047658.0099999998</v>
      </c>
      <c r="G206" s="36">
        <v>1.4999999999999999E-2</v>
      </c>
    </row>
    <row r="207" spans="1:7" x14ac:dyDescent="0.3">
      <c r="A207" t="s">
        <v>58</v>
      </c>
      <c r="B207" t="s">
        <v>63</v>
      </c>
      <c r="C207" t="s">
        <v>223</v>
      </c>
      <c r="D207" t="s">
        <v>117</v>
      </c>
      <c r="E207">
        <v>5</v>
      </c>
      <c r="F207">
        <v>34747696.32</v>
      </c>
      <c r="G207" s="36">
        <v>5.79E-2</v>
      </c>
    </row>
    <row r="208" spans="1:7" x14ac:dyDescent="0.3">
      <c r="A208" t="s">
        <v>58</v>
      </c>
      <c r="B208" t="s">
        <v>63</v>
      </c>
      <c r="C208" t="s">
        <v>223</v>
      </c>
      <c r="D208" t="s">
        <v>118</v>
      </c>
      <c r="E208">
        <v>5</v>
      </c>
      <c r="F208">
        <v>104803787.03</v>
      </c>
      <c r="G208" s="36">
        <v>0.17469999999999999</v>
      </c>
    </row>
    <row r="209" spans="1:7" x14ac:dyDescent="0.3">
      <c r="A209" t="s">
        <v>58</v>
      </c>
      <c r="B209" t="s">
        <v>61</v>
      </c>
      <c r="C209" t="s">
        <v>62</v>
      </c>
      <c r="D209" t="s">
        <v>117</v>
      </c>
      <c r="E209">
        <v>7</v>
      </c>
      <c r="F209">
        <v>117597435.05</v>
      </c>
      <c r="G209" s="36">
        <v>0.1961</v>
      </c>
    </row>
    <row r="210" spans="1:7" x14ac:dyDescent="0.3">
      <c r="A210" t="s">
        <v>58</v>
      </c>
      <c r="B210" t="s">
        <v>61</v>
      </c>
      <c r="C210" t="s">
        <v>62</v>
      </c>
      <c r="D210" t="s">
        <v>118</v>
      </c>
      <c r="E210">
        <v>4</v>
      </c>
      <c r="F210">
        <v>118936018.5</v>
      </c>
      <c r="G210" s="36">
        <v>0.1983</v>
      </c>
    </row>
    <row r="211" spans="1:7" x14ac:dyDescent="0.3">
      <c r="A211" t="s">
        <v>58</v>
      </c>
      <c r="B211" t="s">
        <v>61</v>
      </c>
      <c r="C211" t="s">
        <v>62</v>
      </c>
      <c r="D211" t="s">
        <v>119</v>
      </c>
      <c r="E211">
        <v>1</v>
      </c>
      <c r="F211">
        <v>13065774.619999999</v>
      </c>
      <c r="G211" s="36">
        <v>2.1700000000000001E-2</v>
      </c>
    </row>
    <row r="212" spans="1:7" x14ac:dyDescent="0.3">
      <c r="A212" t="s">
        <v>58</v>
      </c>
      <c r="B212" t="s">
        <v>61</v>
      </c>
      <c r="C212" t="s">
        <v>62</v>
      </c>
      <c r="D212" t="s">
        <v>144</v>
      </c>
      <c r="E212">
        <v>3</v>
      </c>
      <c r="F212">
        <v>10989401.34</v>
      </c>
      <c r="G212" s="36">
        <v>1.83E-2</v>
      </c>
    </row>
    <row r="213" spans="1:7" x14ac:dyDescent="0.3">
      <c r="A213" t="s">
        <v>58</v>
      </c>
      <c r="B213" t="s">
        <v>61</v>
      </c>
      <c r="C213" t="s">
        <v>210</v>
      </c>
      <c r="D213" t="s">
        <v>117</v>
      </c>
      <c r="E213">
        <v>1</v>
      </c>
      <c r="F213">
        <v>21830342.710000001</v>
      </c>
      <c r="G213" s="36">
        <v>3.6400000000000002E-2</v>
      </c>
    </row>
    <row r="214" spans="1:7" x14ac:dyDescent="0.3">
      <c r="A214" t="s">
        <v>58</v>
      </c>
      <c r="B214" t="s">
        <v>60</v>
      </c>
      <c r="C214" t="s">
        <v>59</v>
      </c>
      <c r="D214" t="s">
        <v>117</v>
      </c>
      <c r="E214">
        <v>12</v>
      </c>
      <c r="F214">
        <v>445633138.70999998</v>
      </c>
      <c r="G214" s="36">
        <v>0.74319999999999997</v>
      </c>
    </row>
    <row r="215" spans="1:7" x14ac:dyDescent="0.3">
      <c r="A215" t="s">
        <v>58</v>
      </c>
      <c r="B215" t="s">
        <v>60</v>
      </c>
      <c r="C215" t="s">
        <v>59</v>
      </c>
      <c r="D215" t="s">
        <v>118</v>
      </c>
      <c r="E215">
        <v>5</v>
      </c>
      <c r="F215">
        <v>44352871.210000001</v>
      </c>
      <c r="G215" s="36">
        <v>7.3899999999999993E-2</v>
      </c>
    </row>
    <row r="216" spans="1:7" x14ac:dyDescent="0.3">
      <c r="A216" t="s">
        <v>58</v>
      </c>
      <c r="B216" t="s">
        <v>60</v>
      </c>
      <c r="C216" t="s">
        <v>59</v>
      </c>
      <c r="D216" t="s">
        <v>119</v>
      </c>
      <c r="E216">
        <v>6</v>
      </c>
      <c r="F216">
        <v>37293090.829999998</v>
      </c>
      <c r="G216" s="36">
        <v>6.2100000000000002E-2</v>
      </c>
    </row>
    <row r="217" spans="1:7" x14ac:dyDescent="0.3">
      <c r="A217" t="s">
        <v>58</v>
      </c>
      <c r="B217" t="s">
        <v>60</v>
      </c>
      <c r="C217" t="s">
        <v>59</v>
      </c>
      <c r="D217" t="s">
        <v>144</v>
      </c>
      <c r="E217">
        <v>2</v>
      </c>
      <c r="F217">
        <v>6745960.2000000002</v>
      </c>
      <c r="G217" s="36">
        <v>1.12E-2</v>
      </c>
    </row>
    <row r="218" spans="1:7" x14ac:dyDescent="0.3">
      <c r="A218" t="s">
        <v>58</v>
      </c>
      <c r="B218" t="s">
        <v>60</v>
      </c>
      <c r="C218" t="s">
        <v>220</v>
      </c>
      <c r="D218" t="s">
        <v>117</v>
      </c>
      <c r="E218">
        <v>1</v>
      </c>
      <c r="F218">
        <v>24297264.960000001</v>
      </c>
      <c r="G218" s="36">
        <v>4.0500000000000001E-2</v>
      </c>
    </row>
    <row r="219" spans="1:7" x14ac:dyDescent="0.3">
      <c r="A219" t="s">
        <v>58</v>
      </c>
      <c r="B219" t="s">
        <v>60</v>
      </c>
      <c r="C219" t="s">
        <v>250</v>
      </c>
      <c r="D219" t="s">
        <v>117</v>
      </c>
      <c r="E219">
        <v>1</v>
      </c>
      <c r="F219">
        <v>13871281.300000001</v>
      </c>
      <c r="G219" s="36">
        <v>2.3099999999999999E-2</v>
      </c>
    </row>
    <row r="220" spans="1:7" x14ac:dyDescent="0.3">
      <c r="A220" t="s">
        <v>58</v>
      </c>
      <c r="B220" t="s">
        <v>60</v>
      </c>
      <c r="C220" t="s">
        <v>250</v>
      </c>
      <c r="D220" t="s">
        <v>118</v>
      </c>
      <c r="E220">
        <v>1</v>
      </c>
      <c r="F220">
        <v>1357929.33</v>
      </c>
      <c r="G220" s="36">
        <v>2.2000000000000001E-3</v>
      </c>
    </row>
    <row r="221" spans="1:7" x14ac:dyDescent="0.3">
      <c r="A221" t="s">
        <v>58</v>
      </c>
      <c r="B221" t="s">
        <v>60</v>
      </c>
      <c r="C221" t="s">
        <v>49</v>
      </c>
      <c r="D221" t="s">
        <v>117</v>
      </c>
      <c r="E221">
        <v>1</v>
      </c>
      <c r="F221">
        <v>63383326.469999999</v>
      </c>
      <c r="G221" s="36">
        <v>0.1057</v>
      </c>
    </row>
    <row r="222" spans="1:7" x14ac:dyDescent="0.3">
      <c r="A222" t="s">
        <v>58</v>
      </c>
      <c r="B222" t="s">
        <v>60</v>
      </c>
      <c r="C222" t="s">
        <v>49</v>
      </c>
      <c r="D222" t="s">
        <v>118</v>
      </c>
      <c r="E222">
        <v>1</v>
      </c>
      <c r="F222">
        <v>33017695.050000001</v>
      </c>
      <c r="G222" s="36">
        <v>5.5E-2</v>
      </c>
    </row>
    <row r="223" spans="1:7" x14ac:dyDescent="0.3">
      <c r="A223" t="s">
        <v>58</v>
      </c>
      <c r="B223" t="s">
        <v>60</v>
      </c>
      <c r="C223" t="s">
        <v>209</v>
      </c>
      <c r="D223" t="s">
        <v>117</v>
      </c>
      <c r="E223">
        <v>1</v>
      </c>
      <c r="F223">
        <v>14592933.859999999</v>
      </c>
      <c r="G223" s="36">
        <v>2.4299999999999999E-2</v>
      </c>
    </row>
    <row r="224" spans="1:7" x14ac:dyDescent="0.3">
      <c r="A224" t="s">
        <v>58</v>
      </c>
      <c r="B224" t="s">
        <v>60</v>
      </c>
      <c r="C224" t="s">
        <v>209</v>
      </c>
      <c r="D224" t="s">
        <v>118</v>
      </c>
      <c r="E224">
        <v>2</v>
      </c>
      <c r="F224">
        <v>32040889.73</v>
      </c>
      <c r="G224" s="36">
        <v>5.3400000000000003E-2</v>
      </c>
    </row>
    <row r="225" spans="1:7" x14ac:dyDescent="0.3">
      <c r="A225" t="s">
        <v>58</v>
      </c>
      <c r="B225" t="s">
        <v>49</v>
      </c>
      <c r="C225" t="s">
        <v>49</v>
      </c>
      <c r="D225" t="s">
        <v>117</v>
      </c>
      <c r="E225">
        <v>5</v>
      </c>
      <c r="F225">
        <v>57812522.310000002</v>
      </c>
      <c r="G225" s="36">
        <v>9.64E-2</v>
      </c>
    </row>
    <row r="226" spans="1:7" x14ac:dyDescent="0.3">
      <c r="A226" t="s">
        <v>58</v>
      </c>
      <c r="B226" t="s">
        <v>49</v>
      </c>
      <c r="C226" t="s">
        <v>49</v>
      </c>
      <c r="D226" t="s">
        <v>118</v>
      </c>
      <c r="E226">
        <v>2</v>
      </c>
      <c r="F226">
        <v>14900000</v>
      </c>
      <c r="G226" s="36">
        <v>2.4799999999999999E-2</v>
      </c>
    </row>
    <row r="227" spans="1:7" x14ac:dyDescent="0.3">
      <c r="A227" t="s">
        <v>58</v>
      </c>
      <c r="B227" t="s">
        <v>49</v>
      </c>
      <c r="C227" t="s">
        <v>49</v>
      </c>
      <c r="D227" t="s">
        <v>144</v>
      </c>
      <c r="E227">
        <v>10</v>
      </c>
      <c r="F227">
        <v>32952675.920000002</v>
      </c>
      <c r="G227" s="36">
        <v>5.4899999999999997E-2</v>
      </c>
    </row>
    <row r="228" spans="1:7" x14ac:dyDescent="0.3">
      <c r="A228" t="s">
        <v>58</v>
      </c>
      <c r="B228" t="s">
        <v>57</v>
      </c>
      <c r="C228" t="s">
        <v>59</v>
      </c>
      <c r="D228" t="s">
        <v>117</v>
      </c>
      <c r="E228">
        <v>6</v>
      </c>
      <c r="F228">
        <v>32540858.84</v>
      </c>
      <c r="G228" s="36">
        <v>5.4199999999999998E-2</v>
      </c>
    </row>
    <row r="229" spans="1:7" x14ac:dyDescent="0.3">
      <c r="A229" t="s">
        <v>58</v>
      </c>
      <c r="B229" t="s">
        <v>57</v>
      </c>
      <c r="C229" t="s">
        <v>59</v>
      </c>
      <c r="D229" t="s">
        <v>118</v>
      </c>
      <c r="E229">
        <v>3</v>
      </c>
      <c r="F229">
        <v>98976156.459999993</v>
      </c>
      <c r="G229" s="36">
        <v>0.16500000000000001</v>
      </c>
    </row>
    <row r="230" spans="1:7" x14ac:dyDescent="0.3">
      <c r="A230" t="s">
        <v>58</v>
      </c>
      <c r="B230" t="s">
        <v>57</v>
      </c>
      <c r="C230" t="s">
        <v>59</v>
      </c>
      <c r="D230" t="s">
        <v>119</v>
      </c>
      <c r="E230">
        <v>1</v>
      </c>
      <c r="F230">
        <v>1420589.94</v>
      </c>
      <c r="G230" s="36">
        <v>2.3E-3</v>
      </c>
    </row>
    <row r="231" spans="1:7" x14ac:dyDescent="0.3">
      <c r="A231" t="s">
        <v>58</v>
      </c>
      <c r="B231" t="s">
        <v>57</v>
      </c>
      <c r="C231" t="s">
        <v>59</v>
      </c>
      <c r="D231" t="s">
        <v>144</v>
      </c>
      <c r="E231">
        <v>1</v>
      </c>
      <c r="F231">
        <v>2000000</v>
      </c>
      <c r="G231" s="36">
        <v>3.3E-3</v>
      </c>
    </row>
    <row r="232" spans="1:7" x14ac:dyDescent="0.3">
      <c r="A232" t="s">
        <v>58</v>
      </c>
      <c r="B232" t="s">
        <v>57</v>
      </c>
      <c r="C232" t="s">
        <v>209</v>
      </c>
      <c r="D232" t="s">
        <v>117</v>
      </c>
      <c r="E232">
        <v>1</v>
      </c>
      <c r="F232">
        <v>19488263.370000001</v>
      </c>
      <c r="G232" s="36">
        <v>3.2500000000000001E-2</v>
      </c>
    </row>
    <row r="233" spans="1:7" x14ac:dyDescent="0.3">
      <c r="A233" t="s">
        <v>54</v>
      </c>
      <c r="B233" t="s">
        <v>56</v>
      </c>
      <c r="C233" t="s">
        <v>121</v>
      </c>
      <c r="D233" t="s">
        <v>117</v>
      </c>
      <c r="E233">
        <v>1</v>
      </c>
      <c r="F233">
        <v>24055968.289999999</v>
      </c>
      <c r="G233" s="36">
        <v>4.0099999999999997E-2</v>
      </c>
    </row>
    <row r="234" spans="1:7" x14ac:dyDescent="0.3">
      <c r="A234" t="s">
        <v>54</v>
      </c>
      <c r="B234" t="s">
        <v>56</v>
      </c>
      <c r="C234" t="s">
        <v>121</v>
      </c>
      <c r="D234" t="s">
        <v>118</v>
      </c>
      <c r="E234">
        <v>2</v>
      </c>
      <c r="F234">
        <v>198599214.38999999</v>
      </c>
      <c r="G234" s="36">
        <v>0.33119999999999999</v>
      </c>
    </row>
    <row r="235" spans="1:7" x14ac:dyDescent="0.3">
      <c r="A235" t="s">
        <v>54</v>
      </c>
      <c r="B235" t="s">
        <v>56</v>
      </c>
      <c r="C235" t="s">
        <v>121</v>
      </c>
      <c r="D235" t="s">
        <v>119</v>
      </c>
      <c r="E235">
        <v>1</v>
      </c>
      <c r="F235">
        <v>53215142.479999997</v>
      </c>
      <c r="G235" s="36">
        <v>8.8700000000000001E-2</v>
      </c>
    </row>
    <row r="236" spans="1:7" x14ac:dyDescent="0.3">
      <c r="A236" t="s">
        <v>54</v>
      </c>
      <c r="B236" t="s">
        <v>56</v>
      </c>
      <c r="C236" t="s">
        <v>49</v>
      </c>
      <c r="D236" t="s">
        <v>117</v>
      </c>
      <c r="E236">
        <v>5</v>
      </c>
      <c r="F236">
        <v>254944898.13</v>
      </c>
      <c r="G236" s="36">
        <v>0.42509999999999998</v>
      </c>
    </row>
    <row r="237" spans="1:7" x14ac:dyDescent="0.3">
      <c r="A237" t="s">
        <v>54</v>
      </c>
      <c r="B237" t="s">
        <v>56</v>
      </c>
      <c r="C237" t="s">
        <v>49</v>
      </c>
      <c r="D237" t="s">
        <v>118</v>
      </c>
      <c r="E237">
        <v>3</v>
      </c>
      <c r="F237">
        <v>108184991.67</v>
      </c>
      <c r="G237" s="36">
        <v>0.1804</v>
      </c>
    </row>
    <row r="238" spans="1:7" x14ac:dyDescent="0.3">
      <c r="A238" t="s">
        <v>54</v>
      </c>
      <c r="B238" t="s">
        <v>56</v>
      </c>
      <c r="C238" t="s">
        <v>49</v>
      </c>
      <c r="D238" t="s">
        <v>119</v>
      </c>
      <c r="E238">
        <v>2</v>
      </c>
      <c r="F238">
        <v>20267972.199999999</v>
      </c>
      <c r="G238" s="36">
        <v>3.3799999999999997E-2</v>
      </c>
    </row>
    <row r="239" spans="1:7" x14ac:dyDescent="0.3">
      <c r="A239" t="s">
        <v>54</v>
      </c>
      <c r="B239" t="s">
        <v>56</v>
      </c>
      <c r="C239" t="s">
        <v>49</v>
      </c>
      <c r="D239" t="s">
        <v>144</v>
      </c>
      <c r="E239">
        <v>4</v>
      </c>
      <c r="F239">
        <v>26534053.039999999</v>
      </c>
      <c r="G239" s="36">
        <v>4.4200000000000003E-2</v>
      </c>
    </row>
    <row r="240" spans="1:7" x14ac:dyDescent="0.3">
      <c r="A240" t="s">
        <v>54</v>
      </c>
      <c r="B240" t="s">
        <v>56</v>
      </c>
      <c r="C240" t="s">
        <v>55</v>
      </c>
      <c r="D240" t="s">
        <v>117</v>
      </c>
      <c r="E240">
        <v>32</v>
      </c>
      <c r="F240">
        <v>786611964.87</v>
      </c>
      <c r="G240" s="36">
        <v>1.3118000000000001</v>
      </c>
    </row>
    <row r="241" spans="1:7" x14ac:dyDescent="0.3">
      <c r="A241" t="s">
        <v>54</v>
      </c>
      <c r="B241" t="s">
        <v>56</v>
      </c>
      <c r="C241" t="s">
        <v>55</v>
      </c>
      <c r="D241" t="s">
        <v>118</v>
      </c>
      <c r="E241">
        <v>21</v>
      </c>
      <c r="F241">
        <v>533945226.75</v>
      </c>
      <c r="G241" s="36">
        <v>0.89039999999999997</v>
      </c>
    </row>
    <row r="242" spans="1:7" x14ac:dyDescent="0.3">
      <c r="A242" t="s">
        <v>54</v>
      </c>
      <c r="B242" t="s">
        <v>56</v>
      </c>
      <c r="C242" t="s">
        <v>55</v>
      </c>
      <c r="D242" t="s">
        <v>119</v>
      </c>
      <c r="E242">
        <v>21</v>
      </c>
      <c r="F242">
        <v>515435974.31</v>
      </c>
      <c r="G242" s="36">
        <v>0.85960000000000003</v>
      </c>
    </row>
    <row r="243" spans="1:7" x14ac:dyDescent="0.3">
      <c r="A243" t="s">
        <v>54</v>
      </c>
      <c r="B243" t="s">
        <v>56</v>
      </c>
      <c r="C243" t="s">
        <v>55</v>
      </c>
      <c r="D243" t="s">
        <v>144</v>
      </c>
      <c r="E243">
        <v>12</v>
      </c>
      <c r="F243">
        <v>160078658.44999999</v>
      </c>
      <c r="G243" s="36">
        <v>0.26690000000000003</v>
      </c>
    </row>
    <row r="244" spans="1:7" x14ac:dyDescent="0.3">
      <c r="A244" t="s">
        <v>54</v>
      </c>
      <c r="B244" t="s">
        <v>49</v>
      </c>
      <c r="C244" t="s">
        <v>49</v>
      </c>
      <c r="D244" t="s">
        <v>117</v>
      </c>
      <c r="E244">
        <v>1</v>
      </c>
      <c r="F244">
        <v>9900000</v>
      </c>
      <c r="G244" s="36">
        <v>1.6500000000000001E-2</v>
      </c>
    </row>
    <row r="245" spans="1:7" x14ac:dyDescent="0.3">
      <c r="A245" t="s">
        <v>54</v>
      </c>
      <c r="B245" t="s">
        <v>49</v>
      </c>
      <c r="C245" t="s">
        <v>49</v>
      </c>
      <c r="D245" t="s">
        <v>118</v>
      </c>
      <c r="E245">
        <v>1</v>
      </c>
      <c r="F245">
        <v>96280318.930000007</v>
      </c>
      <c r="G245" s="36">
        <v>0.1605</v>
      </c>
    </row>
    <row r="246" spans="1:7" x14ac:dyDescent="0.3">
      <c r="A246" t="s">
        <v>54</v>
      </c>
      <c r="B246" t="s">
        <v>49</v>
      </c>
      <c r="C246" t="s">
        <v>49</v>
      </c>
      <c r="D246" t="s">
        <v>144</v>
      </c>
      <c r="E246">
        <v>1</v>
      </c>
      <c r="F246">
        <v>27834619.32</v>
      </c>
      <c r="G246" s="36">
        <v>4.6399999999999997E-2</v>
      </c>
    </row>
    <row r="247" spans="1:7" x14ac:dyDescent="0.3">
      <c r="A247" t="s">
        <v>54</v>
      </c>
      <c r="B247" t="s">
        <v>53</v>
      </c>
      <c r="C247" t="s">
        <v>125</v>
      </c>
      <c r="D247" t="s">
        <v>117</v>
      </c>
      <c r="E247">
        <v>5</v>
      </c>
      <c r="F247">
        <v>338108851.25</v>
      </c>
      <c r="G247" s="36">
        <v>0.56379999999999997</v>
      </c>
    </row>
    <row r="248" spans="1:7" x14ac:dyDescent="0.3">
      <c r="A248" t="s">
        <v>54</v>
      </c>
      <c r="B248" t="s">
        <v>53</v>
      </c>
      <c r="C248" t="s">
        <v>125</v>
      </c>
      <c r="D248" t="s">
        <v>118</v>
      </c>
      <c r="E248">
        <v>6</v>
      </c>
      <c r="F248">
        <v>244807213.91999999</v>
      </c>
      <c r="G248" s="36">
        <v>0.40820000000000001</v>
      </c>
    </row>
    <row r="249" spans="1:7" x14ac:dyDescent="0.3">
      <c r="A249" t="s">
        <v>54</v>
      </c>
      <c r="B249" t="s">
        <v>53</v>
      </c>
      <c r="C249" t="s">
        <v>125</v>
      </c>
      <c r="D249" t="s">
        <v>119</v>
      </c>
      <c r="E249">
        <v>1</v>
      </c>
      <c r="F249">
        <v>79480807.290000007</v>
      </c>
      <c r="G249" s="36">
        <v>0.13250000000000001</v>
      </c>
    </row>
    <row r="250" spans="1:7" x14ac:dyDescent="0.3">
      <c r="A250" t="s">
        <v>54</v>
      </c>
      <c r="B250" t="s">
        <v>53</v>
      </c>
      <c r="C250" t="s">
        <v>115</v>
      </c>
      <c r="D250" t="s">
        <v>117</v>
      </c>
      <c r="E250">
        <v>6</v>
      </c>
      <c r="F250">
        <v>300463860.39999998</v>
      </c>
      <c r="G250" s="36">
        <v>0.501</v>
      </c>
    </row>
    <row r="251" spans="1:7" x14ac:dyDescent="0.3">
      <c r="A251" t="s">
        <v>54</v>
      </c>
      <c r="B251" t="s">
        <v>53</v>
      </c>
      <c r="C251" t="s">
        <v>115</v>
      </c>
      <c r="D251" t="s">
        <v>118</v>
      </c>
      <c r="E251">
        <v>4</v>
      </c>
      <c r="F251">
        <v>166839409.66999999</v>
      </c>
      <c r="G251" s="36">
        <v>0.2782</v>
      </c>
    </row>
    <row r="252" spans="1:7" x14ac:dyDescent="0.3">
      <c r="A252" t="s">
        <v>54</v>
      </c>
      <c r="B252" t="s">
        <v>53</v>
      </c>
      <c r="C252" t="s">
        <v>115</v>
      </c>
      <c r="D252" t="s">
        <v>144</v>
      </c>
      <c r="E252">
        <v>1</v>
      </c>
      <c r="F252">
        <v>4562920.9400000004</v>
      </c>
      <c r="G252" s="36">
        <v>7.6E-3</v>
      </c>
    </row>
    <row r="253" spans="1:7" x14ac:dyDescent="0.3">
      <c r="A253" t="s">
        <v>54</v>
      </c>
      <c r="B253" t="s">
        <v>53</v>
      </c>
      <c r="C253" t="s">
        <v>49</v>
      </c>
      <c r="D253" t="s">
        <v>117</v>
      </c>
      <c r="E253">
        <v>9</v>
      </c>
      <c r="F253">
        <v>431876070.88</v>
      </c>
      <c r="G253" s="36">
        <v>0.72019999999999995</v>
      </c>
    </row>
    <row r="254" spans="1:7" x14ac:dyDescent="0.3">
      <c r="A254" t="s">
        <v>54</v>
      </c>
      <c r="B254" t="s">
        <v>53</v>
      </c>
      <c r="C254" t="s">
        <v>49</v>
      </c>
      <c r="D254" t="s">
        <v>118</v>
      </c>
      <c r="E254">
        <v>3</v>
      </c>
      <c r="F254">
        <v>156576728.09</v>
      </c>
      <c r="G254" s="36">
        <v>0.2611</v>
      </c>
    </row>
    <row r="255" spans="1:7" x14ac:dyDescent="0.3">
      <c r="A255" t="s">
        <v>54</v>
      </c>
      <c r="B255" t="s">
        <v>53</v>
      </c>
      <c r="C255" t="s">
        <v>49</v>
      </c>
      <c r="D255" t="s">
        <v>144</v>
      </c>
      <c r="E255">
        <v>2</v>
      </c>
      <c r="F255">
        <v>18407173.84</v>
      </c>
      <c r="G255" s="36">
        <v>3.0599999999999999E-2</v>
      </c>
    </row>
    <row r="256" spans="1:7" x14ac:dyDescent="0.3">
      <c r="A256" t="s">
        <v>54</v>
      </c>
      <c r="B256" t="s">
        <v>111</v>
      </c>
      <c r="C256" t="s">
        <v>111</v>
      </c>
      <c r="D256" t="s">
        <v>118</v>
      </c>
      <c r="E256">
        <v>1</v>
      </c>
      <c r="F256">
        <v>50354874.759999998</v>
      </c>
      <c r="G256" s="36">
        <v>8.3900000000000002E-2</v>
      </c>
    </row>
    <row r="257" spans="1:7" x14ac:dyDescent="0.3">
      <c r="A257" t="s">
        <v>50</v>
      </c>
      <c r="B257" t="s">
        <v>52</v>
      </c>
      <c r="C257" t="s">
        <v>208</v>
      </c>
      <c r="D257" t="s">
        <v>117</v>
      </c>
      <c r="E257">
        <v>3</v>
      </c>
      <c r="F257">
        <v>102783033.56999999</v>
      </c>
      <c r="G257" s="36">
        <v>0.1714</v>
      </c>
    </row>
    <row r="258" spans="1:7" x14ac:dyDescent="0.3">
      <c r="A258" t="s">
        <v>50</v>
      </c>
      <c r="B258" t="s">
        <v>52</v>
      </c>
      <c r="C258" t="s">
        <v>208</v>
      </c>
      <c r="D258" t="s">
        <v>118</v>
      </c>
      <c r="E258">
        <v>2</v>
      </c>
      <c r="F258">
        <v>82950476.120000005</v>
      </c>
      <c r="G258" s="36">
        <v>0.13830000000000001</v>
      </c>
    </row>
    <row r="259" spans="1:7" x14ac:dyDescent="0.3">
      <c r="A259" t="s">
        <v>50</v>
      </c>
      <c r="B259" t="s">
        <v>52</v>
      </c>
      <c r="C259" t="s">
        <v>122</v>
      </c>
      <c r="D259" t="s">
        <v>117</v>
      </c>
      <c r="E259">
        <v>2</v>
      </c>
      <c r="F259">
        <v>12585120.189999999</v>
      </c>
      <c r="G259" s="36">
        <v>2.0899999999999998E-2</v>
      </c>
    </row>
    <row r="260" spans="1:7" x14ac:dyDescent="0.3">
      <c r="A260" t="s">
        <v>50</v>
      </c>
      <c r="B260" t="s">
        <v>52</v>
      </c>
      <c r="C260" t="s">
        <v>122</v>
      </c>
      <c r="D260" t="s">
        <v>144</v>
      </c>
      <c r="E260">
        <v>1</v>
      </c>
      <c r="F260">
        <v>3997144.95</v>
      </c>
      <c r="G260" s="36">
        <v>6.6E-3</v>
      </c>
    </row>
    <row r="261" spans="1:7" x14ac:dyDescent="0.3">
      <c r="A261" t="s">
        <v>50</v>
      </c>
      <c r="B261" t="s">
        <v>52</v>
      </c>
      <c r="C261" t="s">
        <v>202</v>
      </c>
      <c r="D261" t="s">
        <v>117</v>
      </c>
      <c r="E261">
        <v>2</v>
      </c>
      <c r="F261">
        <v>67331580.010000005</v>
      </c>
      <c r="G261" s="36">
        <v>0.11219999999999999</v>
      </c>
    </row>
    <row r="262" spans="1:7" x14ac:dyDescent="0.3">
      <c r="A262" t="s">
        <v>50</v>
      </c>
      <c r="B262" t="s">
        <v>52</v>
      </c>
      <c r="C262" t="s">
        <v>202</v>
      </c>
      <c r="D262" t="s">
        <v>118</v>
      </c>
      <c r="E262">
        <v>1</v>
      </c>
      <c r="F262">
        <v>7665040.6799999997</v>
      </c>
      <c r="G262" s="36">
        <v>1.2699999999999999E-2</v>
      </c>
    </row>
    <row r="263" spans="1:7" x14ac:dyDescent="0.3">
      <c r="A263" t="s">
        <v>50</v>
      </c>
      <c r="B263" t="s">
        <v>52</v>
      </c>
      <c r="C263" t="s">
        <v>202</v>
      </c>
      <c r="D263" t="s">
        <v>119</v>
      </c>
      <c r="E263">
        <v>1</v>
      </c>
      <c r="F263">
        <v>35513221.079999998</v>
      </c>
      <c r="G263" s="36">
        <v>5.9200000000000003E-2</v>
      </c>
    </row>
    <row r="264" spans="1:7" x14ac:dyDescent="0.3">
      <c r="A264" t="s">
        <v>50</v>
      </c>
      <c r="B264" t="s">
        <v>52</v>
      </c>
      <c r="C264" t="s">
        <v>204</v>
      </c>
      <c r="D264" t="s">
        <v>117</v>
      </c>
      <c r="E264">
        <v>1</v>
      </c>
      <c r="F264">
        <v>9664632.4000000004</v>
      </c>
      <c r="G264" s="36">
        <v>1.61E-2</v>
      </c>
    </row>
    <row r="265" spans="1:7" x14ac:dyDescent="0.3">
      <c r="A265" t="s">
        <v>50</v>
      </c>
      <c r="B265" t="s">
        <v>52</v>
      </c>
      <c r="C265" t="s">
        <v>204</v>
      </c>
      <c r="D265" t="s">
        <v>118</v>
      </c>
      <c r="E265">
        <v>1</v>
      </c>
      <c r="F265">
        <v>111454444.45</v>
      </c>
      <c r="G265" s="36">
        <v>0.18579999999999999</v>
      </c>
    </row>
    <row r="266" spans="1:7" x14ac:dyDescent="0.3">
      <c r="A266" t="s">
        <v>50</v>
      </c>
      <c r="B266" t="s">
        <v>52</v>
      </c>
      <c r="C266" t="s">
        <v>204</v>
      </c>
      <c r="D266" t="s">
        <v>119</v>
      </c>
      <c r="E266">
        <v>1</v>
      </c>
      <c r="F266">
        <v>21677162.969999999</v>
      </c>
      <c r="G266" s="36">
        <v>3.61E-2</v>
      </c>
    </row>
    <row r="267" spans="1:7" x14ac:dyDescent="0.3">
      <c r="A267" t="s">
        <v>50</v>
      </c>
      <c r="B267" t="s">
        <v>52</v>
      </c>
      <c r="C267" t="s">
        <v>273</v>
      </c>
      <c r="D267" t="s">
        <v>117</v>
      </c>
      <c r="E267">
        <v>2</v>
      </c>
      <c r="F267">
        <v>19900000</v>
      </c>
      <c r="G267" s="36">
        <v>3.3099999999999997E-2</v>
      </c>
    </row>
    <row r="268" spans="1:7" x14ac:dyDescent="0.3">
      <c r="A268" t="s">
        <v>50</v>
      </c>
      <c r="B268" t="s">
        <v>52</v>
      </c>
      <c r="C268" t="s">
        <v>262</v>
      </c>
      <c r="D268" t="s">
        <v>117</v>
      </c>
      <c r="E268">
        <v>2</v>
      </c>
      <c r="F268">
        <v>62954230.340000004</v>
      </c>
      <c r="G268" s="36">
        <v>0.10489999999999999</v>
      </c>
    </row>
    <row r="269" spans="1:7" x14ac:dyDescent="0.3">
      <c r="A269" t="s">
        <v>50</v>
      </c>
      <c r="B269" t="s">
        <v>52</v>
      </c>
      <c r="C269" t="s">
        <v>262</v>
      </c>
      <c r="D269" t="s">
        <v>118</v>
      </c>
      <c r="E269">
        <v>1</v>
      </c>
      <c r="F269">
        <v>29181815.09</v>
      </c>
      <c r="G269" s="36">
        <v>4.8599999999999997E-2</v>
      </c>
    </row>
    <row r="270" spans="1:7" x14ac:dyDescent="0.3">
      <c r="A270" t="s">
        <v>50</v>
      </c>
      <c r="B270" t="s">
        <v>52</v>
      </c>
      <c r="C270" t="s">
        <v>251</v>
      </c>
      <c r="D270" t="s">
        <v>118</v>
      </c>
      <c r="E270">
        <v>1</v>
      </c>
      <c r="F270">
        <v>23382823.640000001</v>
      </c>
      <c r="G270" s="36">
        <v>3.8899999999999997E-2</v>
      </c>
    </row>
    <row r="271" spans="1:7" x14ac:dyDescent="0.3">
      <c r="A271" t="s">
        <v>50</v>
      </c>
      <c r="B271" t="s">
        <v>52</v>
      </c>
      <c r="C271" t="s">
        <v>215</v>
      </c>
      <c r="D271" t="s">
        <v>117</v>
      </c>
      <c r="E271">
        <v>5</v>
      </c>
      <c r="F271">
        <v>173744314.31999999</v>
      </c>
      <c r="G271" s="36">
        <v>0.28970000000000001</v>
      </c>
    </row>
    <row r="272" spans="1:7" x14ac:dyDescent="0.3">
      <c r="A272" t="s">
        <v>50</v>
      </c>
      <c r="B272" t="s">
        <v>52</v>
      </c>
      <c r="C272" t="s">
        <v>215</v>
      </c>
      <c r="D272" t="s">
        <v>118</v>
      </c>
      <c r="E272">
        <v>2</v>
      </c>
      <c r="F272">
        <v>129092638.95999999</v>
      </c>
      <c r="G272" s="36">
        <v>0.2152</v>
      </c>
    </row>
    <row r="273" spans="1:7" x14ac:dyDescent="0.3">
      <c r="A273" t="s">
        <v>50</v>
      </c>
      <c r="B273" t="s">
        <v>52</v>
      </c>
      <c r="C273" t="s">
        <v>215</v>
      </c>
      <c r="D273" t="s">
        <v>119</v>
      </c>
      <c r="E273">
        <v>1</v>
      </c>
      <c r="F273">
        <v>3376592.45</v>
      </c>
      <c r="G273" s="36">
        <v>5.5999999999999999E-3</v>
      </c>
    </row>
    <row r="274" spans="1:7" x14ac:dyDescent="0.3">
      <c r="A274" t="s">
        <v>50</v>
      </c>
      <c r="B274" t="s">
        <v>52</v>
      </c>
      <c r="C274" t="s">
        <v>215</v>
      </c>
      <c r="D274" t="s">
        <v>144</v>
      </c>
      <c r="E274">
        <v>1</v>
      </c>
      <c r="F274">
        <v>1030223.39</v>
      </c>
      <c r="G274" s="36">
        <v>1.6999999999999999E-3</v>
      </c>
    </row>
    <row r="275" spans="1:7" x14ac:dyDescent="0.3">
      <c r="A275" t="s">
        <v>50</v>
      </c>
      <c r="B275" t="s">
        <v>52</v>
      </c>
      <c r="C275" t="s">
        <v>49</v>
      </c>
      <c r="D275" t="s">
        <v>117</v>
      </c>
      <c r="E275">
        <v>13</v>
      </c>
      <c r="F275">
        <v>564404223.17999995</v>
      </c>
      <c r="G275" s="36">
        <v>0.94120000000000004</v>
      </c>
    </row>
    <row r="276" spans="1:7" x14ac:dyDescent="0.3">
      <c r="A276" t="s">
        <v>50</v>
      </c>
      <c r="B276" t="s">
        <v>52</v>
      </c>
      <c r="C276" t="s">
        <v>49</v>
      </c>
      <c r="D276" t="s">
        <v>118</v>
      </c>
      <c r="E276">
        <v>4</v>
      </c>
      <c r="F276">
        <v>189071007.12</v>
      </c>
      <c r="G276" s="36">
        <v>0.31530000000000002</v>
      </c>
    </row>
    <row r="277" spans="1:7" x14ac:dyDescent="0.3">
      <c r="A277" t="s">
        <v>50</v>
      </c>
      <c r="B277" t="s">
        <v>52</v>
      </c>
      <c r="C277" t="s">
        <v>49</v>
      </c>
      <c r="D277" t="s">
        <v>144</v>
      </c>
      <c r="E277">
        <v>3</v>
      </c>
      <c r="F277">
        <v>36917321.359999999</v>
      </c>
      <c r="G277" s="36">
        <v>6.1499999999999999E-2</v>
      </c>
    </row>
    <row r="278" spans="1:7" x14ac:dyDescent="0.3">
      <c r="A278" t="s">
        <v>50</v>
      </c>
      <c r="B278" t="s">
        <v>52</v>
      </c>
      <c r="C278" t="s">
        <v>252</v>
      </c>
      <c r="D278" t="s">
        <v>117</v>
      </c>
      <c r="E278">
        <v>1</v>
      </c>
      <c r="F278">
        <v>4280211.46</v>
      </c>
      <c r="G278" s="36">
        <v>7.1000000000000004E-3</v>
      </c>
    </row>
    <row r="279" spans="1:7" x14ac:dyDescent="0.3">
      <c r="A279" t="s">
        <v>50</v>
      </c>
      <c r="B279" t="s">
        <v>52</v>
      </c>
      <c r="C279" t="s">
        <v>252</v>
      </c>
      <c r="D279" t="s">
        <v>118</v>
      </c>
      <c r="E279">
        <v>1</v>
      </c>
      <c r="F279">
        <v>94336271.560000002</v>
      </c>
      <c r="G279" s="36">
        <v>0.1573</v>
      </c>
    </row>
    <row r="280" spans="1:7" x14ac:dyDescent="0.3">
      <c r="A280" t="s">
        <v>50</v>
      </c>
      <c r="B280" t="s">
        <v>52</v>
      </c>
      <c r="C280" t="s">
        <v>226</v>
      </c>
      <c r="D280" t="s">
        <v>117</v>
      </c>
      <c r="E280">
        <v>2</v>
      </c>
      <c r="F280">
        <v>28640766.829999998</v>
      </c>
      <c r="G280" s="36">
        <v>4.7699999999999999E-2</v>
      </c>
    </row>
    <row r="281" spans="1:7" x14ac:dyDescent="0.3">
      <c r="A281" t="s">
        <v>50</v>
      </c>
      <c r="B281" t="s">
        <v>52</v>
      </c>
      <c r="C281" t="s">
        <v>226</v>
      </c>
      <c r="D281" t="s">
        <v>118</v>
      </c>
      <c r="E281">
        <v>3</v>
      </c>
      <c r="F281">
        <v>82007679.75</v>
      </c>
      <c r="G281" s="36">
        <v>0.13669999999999999</v>
      </c>
    </row>
    <row r="282" spans="1:7" x14ac:dyDescent="0.3">
      <c r="A282" t="s">
        <v>50</v>
      </c>
      <c r="B282" t="s">
        <v>52</v>
      </c>
      <c r="C282" t="s">
        <v>226</v>
      </c>
      <c r="D282" t="s">
        <v>119</v>
      </c>
      <c r="E282">
        <v>3</v>
      </c>
      <c r="F282">
        <v>32098225.550000001</v>
      </c>
      <c r="G282" s="36">
        <v>5.3499999999999999E-2</v>
      </c>
    </row>
    <row r="283" spans="1:7" x14ac:dyDescent="0.3">
      <c r="A283" t="s">
        <v>50</v>
      </c>
      <c r="B283" t="s">
        <v>52</v>
      </c>
      <c r="C283" t="s">
        <v>253</v>
      </c>
      <c r="D283" t="s">
        <v>117</v>
      </c>
      <c r="E283">
        <v>2</v>
      </c>
      <c r="F283">
        <v>93580800.439999998</v>
      </c>
      <c r="G283" s="36">
        <v>0.156</v>
      </c>
    </row>
    <row r="284" spans="1:7" x14ac:dyDescent="0.3">
      <c r="A284" t="s">
        <v>50</v>
      </c>
      <c r="B284" t="s">
        <v>51</v>
      </c>
      <c r="C284" t="s">
        <v>149</v>
      </c>
      <c r="D284" t="s">
        <v>118</v>
      </c>
      <c r="E284">
        <v>2</v>
      </c>
      <c r="F284">
        <v>46747411.960000001</v>
      </c>
      <c r="G284" s="36">
        <v>7.7899999999999997E-2</v>
      </c>
    </row>
    <row r="285" spans="1:7" x14ac:dyDescent="0.3">
      <c r="A285" t="s">
        <v>50</v>
      </c>
      <c r="B285" t="s">
        <v>51</v>
      </c>
      <c r="C285" t="s">
        <v>268</v>
      </c>
      <c r="D285" t="s">
        <v>117</v>
      </c>
      <c r="E285">
        <v>1</v>
      </c>
      <c r="F285">
        <v>8510568.8000000007</v>
      </c>
      <c r="G285" s="36">
        <v>1.41E-2</v>
      </c>
    </row>
    <row r="286" spans="1:7" x14ac:dyDescent="0.3">
      <c r="A286" t="s">
        <v>50</v>
      </c>
      <c r="B286" t="s">
        <v>51</v>
      </c>
      <c r="C286" t="s">
        <v>254</v>
      </c>
      <c r="D286" t="s">
        <v>118</v>
      </c>
      <c r="E286">
        <v>1</v>
      </c>
      <c r="F286">
        <v>30685477.289999999</v>
      </c>
      <c r="G286" s="36">
        <v>5.11E-2</v>
      </c>
    </row>
    <row r="287" spans="1:7" x14ac:dyDescent="0.3">
      <c r="A287" t="s">
        <v>50</v>
      </c>
      <c r="B287" t="s">
        <v>51</v>
      </c>
      <c r="C287" t="s">
        <v>216</v>
      </c>
      <c r="D287" t="s">
        <v>117</v>
      </c>
      <c r="E287">
        <v>3</v>
      </c>
      <c r="F287">
        <v>87267305.180000007</v>
      </c>
      <c r="G287" s="36">
        <v>0.14549999999999999</v>
      </c>
    </row>
    <row r="288" spans="1:7" x14ac:dyDescent="0.3">
      <c r="A288" t="s">
        <v>50</v>
      </c>
      <c r="B288" t="s">
        <v>51</v>
      </c>
      <c r="C288" t="s">
        <v>216</v>
      </c>
      <c r="D288" t="s">
        <v>118</v>
      </c>
      <c r="E288">
        <v>7</v>
      </c>
      <c r="F288">
        <v>182544630.49000001</v>
      </c>
      <c r="G288" s="36">
        <v>0.3044</v>
      </c>
    </row>
    <row r="289" spans="1:7" x14ac:dyDescent="0.3">
      <c r="A289" t="s">
        <v>50</v>
      </c>
      <c r="B289" t="s">
        <v>51</v>
      </c>
      <c r="C289" t="s">
        <v>216</v>
      </c>
      <c r="D289" t="s">
        <v>119</v>
      </c>
      <c r="E289">
        <v>3</v>
      </c>
      <c r="F289">
        <v>71857533.700000003</v>
      </c>
      <c r="G289" s="36">
        <v>0.1198</v>
      </c>
    </row>
    <row r="290" spans="1:7" x14ac:dyDescent="0.3">
      <c r="A290" t="s">
        <v>50</v>
      </c>
      <c r="B290" t="s">
        <v>51</v>
      </c>
      <c r="C290" t="s">
        <v>222</v>
      </c>
      <c r="D290" t="s">
        <v>118</v>
      </c>
      <c r="E290">
        <v>2</v>
      </c>
      <c r="F290">
        <v>106788746.37</v>
      </c>
      <c r="G290" s="36">
        <v>0.17799999999999999</v>
      </c>
    </row>
    <row r="291" spans="1:7" x14ac:dyDescent="0.3">
      <c r="A291" t="s">
        <v>50</v>
      </c>
      <c r="B291" t="s">
        <v>51</v>
      </c>
      <c r="C291" t="s">
        <v>255</v>
      </c>
      <c r="D291" t="s">
        <v>118</v>
      </c>
      <c r="E291">
        <v>1</v>
      </c>
      <c r="F291">
        <v>10015459.4</v>
      </c>
      <c r="G291" s="36">
        <v>1.67E-2</v>
      </c>
    </row>
    <row r="292" spans="1:7" x14ac:dyDescent="0.3">
      <c r="A292" t="s">
        <v>50</v>
      </c>
      <c r="B292" t="s">
        <v>51</v>
      </c>
      <c r="C292" t="s">
        <v>152</v>
      </c>
      <c r="D292" t="s">
        <v>117</v>
      </c>
      <c r="E292">
        <v>1</v>
      </c>
      <c r="F292">
        <v>9247407.3300000001</v>
      </c>
      <c r="G292" s="36">
        <v>1.54E-2</v>
      </c>
    </row>
    <row r="293" spans="1:7" x14ac:dyDescent="0.3">
      <c r="A293" t="s">
        <v>50</v>
      </c>
      <c r="B293" t="s">
        <v>51</v>
      </c>
      <c r="C293" t="s">
        <v>152</v>
      </c>
      <c r="D293" t="s">
        <v>118</v>
      </c>
      <c r="E293">
        <v>1</v>
      </c>
      <c r="F293">
        <v>4624569.2699999996</v>
      </c>
      <c r="G293" s="36">
        <v>7.7000000000000002E-3</v>
      </c>
    </row>
    <row r="294" spans="1:7" x14ac:dyDescent="0.3">
      <c r="A294" t="s">
        <v>50</v>
      </c>
      <c r="B294" t="s">
        <v>51</v>
      </c>
      <c r="C294" t="s">
        <v>152</v>
      </c>
      <c r="D294" t="s">
        <v>144</v>
      </c>
      <c r="E294">
        <v>1</v>
      </c>
      <c r="F294">
        <v>4327814.43</v>
      </c>
      <c r="G294" s="36">
        <v>7.1999999999999998E-3</v>
      </c>
    </row>
    <row r="295" spans="1:7" x14ac:dyDescent="0.3">
      <c r="A295" t="s">
        <v>50</v>
      </c>
      <c r="B295" t="s">
        <v>51</v>
      </c>
      <c r="C295" t="s">
        <v>49</v>
      </c>
      <c r="D295" t="s">
        <v>117</v>
      </c>
      <c r="E295">
        <v>6</v>
      </c>
      <c r="F295">
        <v>179034260.38</v>
      </c>
      <c r="G295" s="36">
        <v>0.29849999999999999</v>
      </c>
    </row>
    <row r="296" spans="1:7" x14ac:dyDescent="0.3">
      <c r="A296" t="s">
        <v>50</v>
      </c>
      <c r="B296" t="s">
        <v>51</v>
      </c>
      <c r="C296" t="s">
        <v>49</v>
      </c>
      <c r="D296" t="s">
        <v>118</v>
      </c>
      <c r="E296">
        <v>3</v>
      </c>
      <c r="F296">
        <v>36068014.049999997</v>
      </c>
      <c r="G296" s="36">
        <v>6.0100000000000001E-2</v>
      </c>
    </row>
    <row r="297" spans="1:7" x14ac:dyDescent="0.3">
      <c r="A297" t="s">
        <v>50</v>
      </c>
      <c r="B297" t="s">
        <v>51</v>
      </c>
      <c r="C297" t="s">
        <v>256</v>
      </c>
      <c r="D297" t="s">
        <v>117</v>
      </c>
      <c r="E297">
        <v>1</v>
      </c>
      <c r="F297">
        <v>18497559.41</v>
      </c>
      <c r="G297" s="36">
        <v>3.0800000000000001E-2</v>
      </c>
    </row>
    <row r="298" spans="1:7" x14ac:dyDescent="0.3">
      <c r="A298" t="s">
        <v>50</v>
      </c>
      <c r="B298" t="s">
        <v>49</v>
      </c>
      <c r="C298" t="s">
        <v>49</v>
      </c>
      <c r="D298" t="s">
        <v>117</v>
      </c>
      <c r="E298">
        <v>2</v>
      </c>
      <c r="F298">
        <v>20244386.239999998</v>
      </c>
      <c r="G298" s="36">
        <v>3.3700000000000001E-2</v>
      </c>
    </row>
    <row r="299" spans="1:7" x14ac:dyDescent="0.3">
      <c r="A299" t="s">
        <v>50</v>
      </c>
      <c r="B299" t="s">
        <v>49</v>
      </c>
      <c r="C299" t="s">
        <v>49</v>
      </c>
      <c r="D299" t="s">
        <v>119</v>
      </c>
      <c r="E299">
        <v>1</v>
      </c>
      <c r="F299">
        <v>73607284.969999999</v>
      </c>
      <c r="G299" s="36">
        <v>0.1227</v>
      </c>
    </row>
    <row r="300" spans="1:7" x14ac:dyDescent="0.3">
      <c r="A300" t="s">
        <v>50</v>
      </c>
      <c r="B300" t="s">
        <v>49</v>
      </c>
      <c r="C300" t="s">
        <v>49</v>
      </c>
      <c r="D300" t="s">
        <v>144</v>
      </c>
      <c r="E300">
        <v>4</v>
      </c>
      <c r="F300">
        <v>13904687.48</v>
      </c>
      <c r="G300" s="36">
        <v>2.3099999999999999E-2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B2:I20"/>
  <sheetViews>
    <sheetView topLeftCell="A16" zoomScaleNormal="100" workbookViewId="0">
      <selection activeCell="I5" sqref="I5"/>
    </sheetView>
  </sheetViews>
  <sheetFormatPr defaultColWidth="8.88671875" defaultRowHeight="14.4" x14ac:dyDescent="0.3"/>
  <sheetData>
    <row r="2" spans="2:9" x14ac:dyDescent="0.3">
      <c r="D2" t="s">
        <v>27</v>
      </c>
      <c r="E2" s="30">
        <f>DailyReportTotal!H13*2</f>
        <v>0.336038</v>
      </c>
      <c r="F2">
        <v>47</v>
      </c>
    </row>
    <row r="3" spans="2:9" x14ac:dyDescent="0.3">
      <c r="H3" t="s">
        <v>28</v>
      </c>
      <c r="I3" s="31">
        <v>0.06</v>
      </c>
    </row>
    <row r="4" spans="2:9" x14ac:dyDescent="0.3">
      <c r="H4" t="s">
        <v>29</v>
      </c>
      <c r="I4" s="31">
        <v>0.1</v>
      </c>
    </row>
    <row r="5" spans="2:9" x14ac:dyDescent="0.3">
      <c r="H5" t="s">
        <v>30</v>
      </c>
      <c r="I5" s="31">
        <f>1-I4-I3</f>
        <v>0.84000000000000008</v>
      </c>
    </row>
    <row r="6" spans="2:9" x14ac:dyDescent="0.3">
      <c r="D6" s="29">
        <f>MAX(0,E2-1%)</f>
        <v>0.32603799999999999</v>
      </c>
      <c r="E6" s="29">
        <f>IF($D$6&lt;I3,D6,I3)</f>
        <v>0.06</v>
      </c>
      <c r="F6" s="32">
        <f t="shared" ref="F6:F16" si="0">E6</f>
        <v>0.06</v>
      </c>
      <c r="G6" s="33">
        <v>5.0000000000000001E-3</v>
      </c>
      <c r="I6" s="31">
        <f>SUM(I3:I5)</f>
        <v>1</v>
      </c>
    </row>
    <row r="7" spans="2:9" x14ac:dyDescent="0.3">
      <c r="B7">
        <v>5</v>
      </c>
      <c r="D7" s="29">
        <v>0.01</v>
      </c>
      <c r="E7" s="29">
        <f>IF($D$6&lt;I3,1%,0)</f>
        <v>0</v>
      </c>
      <c r="F7" s="32">
        <f t="shared" si="0"/>
        <v>0</v>
      </c>
      <c r="G7" s="33">
        <v>0.01</v>
      </c>
    </row>
    <row r="8" spans="2:9" x14ac:dyDescent="0.3">
      <c r="B8">
        <v>10</v>
      </c>
      <c r="D8" s="29">
        <f>1-SUM(D6:D7)</f>
        <v>0.66396199999999994</v>
      </c>
      <c r="E8" s="29">
        <f>I3-E7-E6</f>
        <v>0</v>
      </c>
      <c r="F8" s="32">
        <f t="shared" si="0"/>
        <v>0</v>
      </c>
      <c r="G8" s="33">
        <v>0.01</v>
      </c>
    </row>
    <row r="9" spans="2:9" x14ac:dyDescent="0.3">
      <c r="B9">
        <v>15</v>
      </c>
      <c r="D9" s="32">
        <f>SUM(D6:D8)</f>
        <v>1</v>
      </c>
      <c r="E9" s="29">
        <f>IF(E10=1%,D6-I3,I4)</f>
        <v>0.1</v>
      </c>
      <c r="F9" s="32">
        <f t="shared" si="0"/>
        <v>0.1</v>
      </c>
      <c r="G9" s="33">
        <v>0.01</v>
      </c>
    </row>
    <row r="10" spans="2:9" x14ac:dyDescent="0.3">
      <c r="B10">
        <v>20</v>
      </c>
      <c r="D10" s="32"/>
      <c r="E10" s="29">
        <f>IF(AND(D6&gt;=I3,D6&lt;I4+I3),1%,0)</f>
        <v>0</v>
      </c>
      <c r="F10" s="32">
        <f t="shared" si="0"/>
        <v>0</v>
      </c>
      <c r="G10" s="33">
        <v>0.01</v>
      </c>
    </row>
    <row r="11" spans="2:9" x14ac:dyDescent="0.3">
      <c r="B11">
        <v>25</v>
      </c>
      <c r="D11" s="32"/>
      <c r="E11" s="29">
        <f>I4-E9-E10</f>
        <v>0</v>
      </c>
      <c r="F11" s="32">
        <f t="shared" si="0"/>
        <v>0</v>
      </c>
      <c r="G11" s="33">
        <v>0.01</v>
      </c>
    </row>
    <row r="12" spans="2:9" x14ac:dyDescent="0.3">
      <c r="B12">
        <v>30</v>
      </c>
      <c r="D12" s="32"/>
      <c r="E12" s="29">
        <f>IF(E13=1%,D6-I4-I3,I5)</f>
        <v>0.16603799999999999</v>
      </c>
      <c r="F12" s="32">
        <f t="shared" si="0"/>
        <v>0.16603799999999999</v>
      </c>
      <c r="G12" s="33">
        <v>0.01</v>
      </c>
    </row>
    <row r="13" spans="2:9" x14ac:dyDescent="0.3">
      <c r="B13">
        <v>35</v>
      </c>
      <c r="D13" s="32"/>
      <c r="E13" s="29">
        <f>IF(D6&gt;=I3+I4,1%,0)</f>
        <v>0.01</v>
      </c>
      <c r="F13" s="32">
        <f t="shared" si="0"/>
        <v>0.01</v>
      </c>
      <c r="G13" s="33">
        <v>0.01</v>
      </c>
    </row>
    <row r="14" spans="2:9" x14ac:dyDescent="0.3">
      <c r="B14">
        <v>40</v>
      </c>
      <c r="D14" s="32"/>
      <c r="E14" s="29">
        <f>I5-E13-E12</f>
        <v>0.66396200000000005</v>
      </c>
      <c r="F14" s="32">
        <f t="shared" si="0"/>
        <v>0.66396200000000005</v>
      </c>
      <c r="G14" s="33">
        <v>0.01</v>
      </c>
    </row>
    <row r="15" spans="2:9" x14ac:dyDescent="0.3">
      <c r="B15">
        <v>45</v>
      </c>
      <c r="D15" s="32"/>
      <c r="E15" s="29">
        <f>SUM(E6:E14)</f>
        <v>1</v>
      </c>
      <c r="F15" s="32">
        <f t="shared" si="0"/>
        <v>1</v>
      </c>
      <c r="G15" s="33">
        <v>0.01</v>
      </c>
    </row>
    <row r="16" spans="2:9" x14ac:dyDescent="0.3">
      <c r="B16">
        <v>50</v>
      </c>
      <c r="D16" s="32"/>
      <c r="E16" s="32"/>
      <c r="F16" s="32">
        <f t="shared" si="0"/>
        <v>0</v>
      </c>
      <c r="G16" s="33">
        <v>0.01</v>
      </c>
    </row>
    <row r="17" spans="7:7" x14ac:dyDescent="0.3">
      <c r="G17" s="33">
        <f>SUM(G7:G16)</f>
        <v>9.9999999999999992E-2</v>
      </c>
    </row>
    <row r="18" spans="7:7" x14ac:dyDescent="0.3">
      <c r="G18" s="33"/>
    </row>
    <row r="19" spans="7:7" x14ac:dyDescent="0.3">
      <c r="G19" s="33"/>
    </row>
    <row r="20" spans="7:7" x14ac:dyDescent="0.3">
      <c r="G20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Scroll Bar 1">
              <controlPr defaultSize="0" autoPict="0">
                <anchor moveWithCells="1">
                  <from>
                    <xdr:col>0</xdr:col>
                    <xdr:colOff>0</xdr:colOff>
                    <xdr:row>28</xdr:row>
                    <xdr:rowOff>7620</xdr:rowOff>
                  </from>
                  <to>
                    <xdr:col>4</xdr:col>
                    <xdr:colOff>22860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Scroll Bar 3">
              <controlPr defaultSize="0" autoPict="0">
                <anchor moveWithCells="1">
                  <from>
                    <xdr:col>1</xdr:col>
                    <xdr:colOff>198120</xdr:colOff>
                    <xdr:row>28</xdr:row>
                    <xdr:rowOff>7620</xdr:rowOff>
                  </from>
                  <to>
                    <xdr:col>5</xdr:col>
                    <xdr:colOff>152400</xdr:colOff>
                    <xdr:row>29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Spinner 4">
              <controlPr defaultSize="0" autoPict="0">
                <anchor moveWithCells="1" sizeWithCells="1">
                  <from>
                    <xdr:col>5</xdr:col>
                    <xdr:colOff>342900</xdr:colOff>
                    <xdr:row>2</xdr:row>
                    <xdr:rowOff>45720</xdr:rowOff>
                  </from>
                  <to>
                    <xdr:col>6</xdr:col>
                    <xdr:colOff>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2:I20"/>
  <sheetViews>
    <sheetView workbookViewId="0">
      <selection activeCell="B17" sqref="B17"/>
    </sheetView>
  </sheetViews>
  <sheetFormatPr defaultColWidth="8.88671875" defaultRowHeight="14.4" x14ac:dyDescent="0.3"/>
  <cols>
    <col min="8" max="8" width="9" customWidth="1"/>
  </cols>
  <sheetData>
    <row r="2" spans="2:9" x14ac:dyDescent="0.3">
      <c r="D2" t="s">
        <v>27</v>
      </c>
      <c r="E2" s="30">
        <f>DailyReportTotal!H14*10</f>
        <v>0.18117999999999998</v>
      </c>
      <c r="F2">
        <v>4</v>
      </c>
    </row>
    <row r="3" spans="2:9" x14ac:dyDescent="0.3">
      <c r="H3" t="s">
        <v>28</v>
      </c>
      <c r="I3" s="31">
        <v>0.18</v>
      </c>
    </row>
    <row r="4" spans="2:9" x14ac:dyDescent="0.3">
      <c r="H4" t="s">
        <v>29</v>
      </c>
      <c r="I4" s="31">
        <v>0.22</v>
      </c>
    </row>
    <row r="5" spans="2:9" x14ac:dyDescent="0.3">
      <c r="H5" t="s">
        <v>30</v>
      </c>
      <c r="I5" s="31">
        <v>0.6</v>
      </c>
    </row>
    <row r="6" spans="2:9" x14ac:dyDescent="0.3">
      <c r="D6" s="29">
        <f>MAX(0,E2-1%)</f>
        <v>0.17117999999999997</v>
      </c>
      <c r="E6" s="29">
        <f>IF($D$6&lt;I3,D6,I3)</f>
        <v>0.17117999999999997</v>
      </c>
      <c r="F6" s="32">
        <f t="shared" ref="F6:F16" si="0">E6</f>
        <v>0.17117999999999997</v>
      </c>
      <c r="G6" s="33">
        <v>5.0000000000000001E-3</v>
      </c>
      <c r="I6" s="31">
        <f>SUM(I3:I5)</f>
        <v>1</v>
      </c>
    </row>
    <row r="7" spans="2:9" x14ac:dyDescent="0.3">
      <c r="B7">
        <v>1</v>
      </c>
      <c r="D7" s="29">
        <v>0.01</v>
      </c>
      <c r="E7" s="29">
        <f>IF($D$6&lt;I3,1%,0)</f>
        <v>0.01</v>
      </c>
      <c r="F7" s="32">
        <f t="shared" si="0"/>
        <v>0.01</v>
      </c>
      <c r="G7" s="33">
        <v>0.01</v>
      </c>
    </row>
    <row r="8" spans="2:9" x14ac:dyDescent="0.3">
      <c r="B8">
        <v>2</v>
      </c>
      <c r="D8" s="29">
        <f>1-SUM(D6:D7)</f>
        <v>0.81881999999999999</v>
      </c>
      <c r="E8" s="29">
        <f>I3-E7-E6</f>
        <v>-1.1799999999999866E-3</v>
      </c>
      <c r="F8" s="32">
        <f t="shared" si="0"/>
        <v>-1.1799999999999866E-3</v>
      </c>
      <c r="G8" s="33">
        <v>0.01</v>
      </c>
    </row>
    <row r="9" spans="2:9" x14ac:dyDescent="0.3">
      <c r="B9">
        <v>3</v>
      </c>
      <c r="D9" s="32">
        <f>SUM(D6:D8)</f>
        <v>1</v>
      </c>
      <c r="E9" s="29">
        <f>IF(E10=1%,D6-I3,I4)</f>
        <v>0.22</v>
      </c>
      <c r="F9" s="32">
        <f t="shared" si="0"/>
        <v>0.22</v>
      </c>
      <c r="G9" s="33">
        <v>0.01</v>
      </c>
    </row>
    <row r="10" spans="2:9" x14ac:dyDescent="0.3">
      <c r="B10">
        <v>4</v>
      </c>
      <c r="D10" s="32"/>
      <c r="E10" s="29">
        <f>IF(AND(D6&gt;=I3,D6&lt;I4+I3),1%,0)</f>
        <v>0</v>
      </c>
      <c r="F10" s="32">
        <f t="shared" si="0"/>
        <v>0</v>
      </c>
      <c r="G10" s="33">
        <v>0.01</v>
      </c>
    </row>
    <row r="11" spans="2:9" x14ac:dyDescent="0.3">
      <c r="B11">
        <v>5</v>
      </c>
      <c r="D11" s="32"/>
      <c r="E11" s="29">
        <f>I4-E9-E10</f>
        <v>0</v>
      </c>
      <c r="F11" s="32">
        <f t="shared" si="0"/>
        <v>0</v>
      </c>
      <c r="G11" s="33">
        <v>0.01</v>
      </c>
    </row>
    <row r="12" spans="2:9" x14ac:dyDescent="0.3">
      <c r="B12">
        <v>6</v>
      </c>
      <c r="D12" s="32"/>
      <c r="E12" s="29">
        <f>IF(E13=1%,D6-I4-I3,I5)</f>
        <v>0.6</v>
      </c>
      <c r="F12" s="32">
        <f t="shared" si="0"/>
        <v>0.6</v>
      </c>
      <c r="G12" s="33">
        <v>0.01</v>
      </c>
    </row>
    <row r="13" spans="2:9" x14ac:dyDescent="0.3">
      <c r="B13">
        <v>7</v>
      </c>
      <c r="D13" s="32"/>
      <c r="E13" s="29">
        <f>IF(D6&gt;=I3+I4,1%,0)</f>
        <v>0</v>
      </c>
      <c r="F13" s="32">
        <f t="shared" si="0"/>
        <v>0</v>
      </c>
      <c r="G13" s="33">
        <v>0.01</v>
      </c>
    </row>
    <row r="14" spans="2:9" x14ac:dyDescent="0.3">
      <c r="B14">
        <v>8</v>
      </c>
      <c r="D14" s="32"/>
      <c r="E14" s="29">
        <f>I5-E13-E12</f>
        <v>0</v>
      </c>
      <c r="F14" s="32">
        <f t="shared" si="0"/>
        <v>0</v>
      </c>
      <c r="G14" s="33">
        <v>0.01</v>
      </c>
    </row>
    <row r="15" spans="2:9" x14ac:dyDescent="0.3">
      <c r="B15">
        <v>9</v>
      </c>
      <c r="D15" s="32"/>
      <c r="E15" s="29">
        <f>SUM(E6:E14)</f>
        <v>1</v>
      </c>
      <c r="F15" s="32">
        <f t="shared" si="0"/>
        <v>1</v>
      </c>
      <c r="G15" s="33">
        <v>0.01</v>
      </c>
    </row>
    <row r="16" spans="2:9" x14ac:dyDescent="0.3">
      <c r="B16">
        <v>10</v>
      </c>
      <c r="D16" s="32"/>
      <c r="E16" s="32"/>
      <c r="F16" s="32">
        <f t="shared" si="0"/>
        <v>0</v>
      </c>
      <c r="G16" s="33">
        <v>0.01</v>
      </c>
    </row>
    <row r="17" spans="7:7" x14ac:dyDescent="0.3">
      <c r="G17" s="33">
        <f>SUM(G7:G16)</f>
        <v>9.9999999999999992E-2</v>
      </c>
    </row>
    <row r="18" spans="7:7" x14ac:dyDescent="0.3">
      <c r="G18" s="33"/>
    </row>
    <row r="19" spans="7:7" x14ac:dyDescent="0.3">
      <c r="G19" s="33"/>
    </row>
    <row r="20" spans="7:7" x14ac:dyDescent="0.3">
      <c r="G20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Scroll Bar 1">
              <controlPr defaultSize="0" autoPict="0">
                <anchor moveWithCells="1">
                  <from>
                    <xdr:col>0</xdr:col>
                    <xdr:colOff>0</xdr:colOff>
                    <xdr:row>28</xdr:row>
                    <xdr:rowOff>7620</xdr:rowOff>
                  </from>
                  <to>
                    <xdr:col>3</xdr:col>
                    <xdr:colOff>556260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Scroll Bar 2">
              <controlPr defaultSize="0" autoPict="0">
                <anchor moveWithCells="1">
                  <from>
                    <xdr:col>1</xdr:col>
                    <xdr:colOff>198120</xdr:colOff>
                    <xdr:row>28</xdr:row>
                    <xdr:rowOff>7620</xdr:rowOff>
                  </from>
                  <to>
                    <xdr:col>5</xdr:col>
                    <xdr:colOff>76200</xdr:colOff>
                    <xdr:row>29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Spinner 3">
              <controlPr defaultSize="0" autoPict="0">
                <anchor moveWithCells="1" sizeWithCells="1">
                  <from>
                    <xdr:col>5</xdr:col>
                    <xdr:colOff>342900</xdr:colOff>
                    <xdr:row>2</xdr:row>
                    <xdr:rowOff>45720</xdr:rowOff>
                  </from>
                  <to>
                    <xdr:col>6</xdr:col>
                    <xdr:colOff>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C00000"/>
  </sheetPr>
  <dimension ref="A1:N115"/>
  <sheetViews>
    <sheetView workbookViewId="0">
      <selection activeCell="O14" sqref="O14"/>
    </sheetView>
  </sheetViews>
  <sheetFormatPr defaultRowHeight="14.4" x14ac:dyDescent="0.3"/>
  <cols>
    <col min="1" max="1" width="2.109375" style="90" bestFit="1" customWidth="1"/>
    <col min="2" max="2" width="28.88671875" bestFit="1" customWidth="1"/>
    <col min="3" max="14" width="12" bestFit="1" customWidth="1"/>
    <col min="15" max="20" width="11.44140625" bestFit="1" customWidth="1"/>
    <col min="194" max="194" width="2.109375" bestFit="1" customWidth="1"/>
    <col min="195" max="195" width="28.88671875" bestFit="1" customWidth="1"/>
    <col min="196" max="234" width="7" customWidth="1"/>
    <col min="235" max="236" width="7.5546875" customWidth="1"/>
    <col min="237" max="255" width="8" customWidth="1"/>
    <col min="256" max="257" width="7.33203125" bestFit="1" customWidth="1"/>
    <col min="258" max="260" width="8" bestFit="1" customWidth="1"/>
    <col min="261" max="261" width="3" customWidth="1"/>
    <col min="262" max="262" width="7.33203125" bestFit="1" customWidth="1"/>
    <col min="263" max="266" width="8" bestFit="1" customWidth="1"/>
    <col min="267" max="268" width="12" bestFit="1" customWidth="1"/>
    <col min="269" max="269" width="11.44140625" bestFit="1" customWidth="1"/>
    <col min="270" max="270" width="12" bestFit="1" customWidth="1"/>
    <col min="271" max="276" width="11.44140625" bestFit="1" customWidth="1"/>
    <col min="450" max="450" width="2.109375" bestFit="1" customWidth="1"/>
    <col min="451" max="451" width="28.88671875" bestFit="1" customWidth="1"/>
    <col min="452" max="490" width="7" customWidth="1"/>
    <col min="491" max="492" width="7.5546875" customWidth="1"/>
    <col min="493" max="511" width="8" customWidth="1"/>
    <col min="512" max="513" width="7.33203125" bestFit="1" customWidth="1"/>
    <col min="514" max="516" width="8" bestFit="1" customWidth="1"/>
    <col min="517" max="517" width="3" customWidth="1"/>
    <col min="518" max="518" width="7.33203125" bestFit="1" customWidth="1"/>
    <col min="519" max="522" width="8" bestFit="1" customWidth="1"/>
    <col min="523" max="524" width="12" bestFit="1" customWidth="1"/>
    <col min="525" max="525" width="11.44140625" bestFit="1" customWidth="1"/>
    <col min="526" max="526" width="12" bestFit="1" customWidth="1"/>
    <col min="527" max="532" width="11.44140625" bestFit="1" customWidth="1"/>
    <col min="706" max="706" width="2.109375" bestFit="1" customWidth="1"/>
    <col min="707" max="707" width="28.88671875" bestFit="1" customWidth="1"/>
    <col min="708" max="746" width="7" customWidth="1"/>
    <col min="747" max="748" width="7.5546875" customWidth="1"/>
    <col min="749" max="767" width="8" customWidth="1"/>
    <col min="768" max="769" width="7.33203125" bestFit="1" customWidth="1"/>
    <col min="770" max="772" width="8" bestFit="1" customWidth="1"/>
    <col min="773" max="773" width="3" customWidth="1"/>
    <col min="774" max="774" width="7.33203125" bestFit="1" customWidth="1"/>
    <col min="775" max="778" width="8" bestFit="1" customWidth="1"/>
    <col min="779" max="780" width="12" bestFit="1" customWidth="1"/>
    <col min="781" max="781" width="11.44140625" bestFit="1" customWidth="1"/>
    <col min="782" max="782" width="12" bestFit="1" customWidth="1"/>
    <col min="783" max="788" width="11.44140625" bestFit="1" customWidth="1"/>
    <col min="962" max="962" width="2.109375" bestFit="1" customWidth="1"/>
    <col min="963" max="963" width="28.88671875" bestFit="1" customWidth="1"/>
    <col min="964" max="1002" width="7" customWidth="1"/>
    <col min="1003" max="1004" width="7.5546875" customWidth="1"/>
    <col min="1005" max="1023" width="8" customWidth="1"/>
    <col min="1024" max="1025" width="7.33203125" bestFit="1" customWidth="1"/>
    <col min="1026" max="1028" width="8" bestFit="1" customWidth="1"/>
    <col min="1029" max="1029" width="3" customWidth="1"/>
    <col min="1030" max="1030" width="7.33203125" bestFit="1" customWidth="1"/>
    <col min="1031" max="1034" width="8" bestFit="1" customWidth="1"/>
    <col min="1035" max="1036" width="12" bestFit="1" customWidth="1"/>
    <col min="1037" max="1037" width="11.44140625" bestFit="1" customWidth="1"/>
    <col min="1038" max="1038" width="12" bestFit="1" customWidth="1"/>
    <col min="1039" max="1044" width="11.44140625" bestFit="1" customWidth="1"/>
    <col min="1218" max="1218" width="2.109375" bestFit="1" customWidth="1"/>
    <col min="1219" max="1219" width="28.88671875" bestFit="1" customWidth="1"/>
    <col min="1220" max="1258" width="7" customWidth="1"/>
    <col min="1259" max="1260" width="7.5546875" customWidth="1"/>
    <col min="1261" max="1279" width="8" customWidth="1"/>
    <col min="1280" max="1281" width="7.33203125" bestFit="1" customWidth="1"/>
    <col min="1282" max="1284" width="8" bestFit="1" customWidth="1"/>
    <col min="1285" max="1285" width="3" customWidth="1"/>
    <col min="1286" max="1286" width="7.33203125" bestFit="1" customWidth="1"/>
    <col min="1287" max="1290" width="8" bestFit="1" customWidth="1"/>
    <col min="1291" max="1292" width="12" bestFit="1" customWidth="1"/>
    <col min="1293" max="1293" width="11.44140625" bestFit="1" customWidth="1"/>
    <col min="1294" max="1294" width="12" bestFit="1" customWidth="1"/>
    <col min="1295" max="1300" width="11.44140625" bestFit="1" customWidth="1"/>
    <col min="1474" max="1474" width="2.109375" bestFit="1" customWidth="1"/>
    <col min="1475" max="1475" width="28.88671875" bestFit="1" customWidth="1"/>
    <col min="1476" max="1514" width="7" customWidth="1"/>
    <col min="1515" max="1516" width="7.5546875" customWidth="1"/>
    <col min="1517" max="1535" width="8" customWidth="1"/>
    <col min="1536" max="1537" width="7.33203125" bestFit="1" customWidth="1"/>
    <col min="1538" max="1540" width="8" bestFit="1" customWidth="1"/>
    <col min="1541" max="1541" width="3" customWidth="1"/>
    <col min="1542" max="1542" width="7.33203125" bestFit="1" customWidth="1"/>
    <col min="1543" max="1546" width="8" bestFit="1" customWidth="1"/>
    <col min="1547" max="1548" width="12" bestFit="1" customWidth="1"/>
    <col min="1549" max="1549" width="11.44140625" bestFit="1" customWidth="1"/>
    <col min="1550" max="1550" width="12" bestFit="1" customWidth="1"/>
    <col min="1551" max="1556" width="11.44140625" bestFit="1" customWidth="1"/>
    <col min="1730" max="1730" width="2.109375" bestFit="1" customWidth="1"/>
    <col min="1731" max="1731" width="28.88671875" bestFit="1" customWidth="1"/>
    <col min="1732" max="1770" width="7" customWidth="1"/>
    <col min="1771" max="1772" width="7.5546875" customWidth="1"/>
    <col min="1773" max="1791" width="8" customWidth="1"/>
    <col min="1792" max="1793" width="7.33203125" bestFit="1" customWidth="1"/>
    <col min="1794" max="1796" width="8" bestFit="1" customWidth="1"/>
    <col min="1797" max="1797" width="3" customWidth="1"/>
    <col min="1798" max="1798" width="7.33203125" bestFit="1" customWidth="1"/>
    <col min="1799" max="1802" width="8" bestFit="1" customWidth="1"/>
    <col min="1803" max="1804" width="12" bestFit="1" customWidth="1"/>
    <col min="1805" max="1805" width="11.44140625" bestFit="1" customWidth="1"/>
    <col min="1806" max="1806" width="12" bestFit="1" customWidth="1"/>
    <col min="1807" max="1812" width="11.44140625" bestFit="1" customWidth="1"/>
    <col min="1986" max="1986" width="2.109375" bestFit="1" customWidth="1"/>
    <col min="1987" max="1987" width="28.88671875" bestFit="1" customWidth="1"/>
    <col min="1988" max="2026" width="7" customWidth="1"/>
    <col min="2027" max="2028" width="7.5546875" customWidth="1"/>
    <col min="2029" max="2047" width="8" customWidth="1"/>
    <col min="2048" max="2049" width="7.33203125" bestFit="1" customWidth="1"/>
    <col min="2050" max="2052" width="8" bestFit="1" customWidth="1"/>
    <col min="2053" max="2053" width="3" customWidth="1"/>
    <col min="2054" max="2054" width="7.33203125" bestFit="1" customWidth="1"/>
    <col min="2055" max="2058" width="8" bestFit="1" customWidth="1"/>
    <col min="2059" max="2060" width="12" bestFit="1" customWidth="1"/>
    <col min="2061" max="2061" width="11.44140625" bestFit="1" customWidth="1"/>
    <col min="2062" max="2062" width="12" bestFit="1" customWidth="1"/>
    <col min="2063" max="2068" width="11.44140625" bestFit="1" customWidth="1"/>
    <col min="2242" max="2242" width="2.109375" bestFit="1" customWidth="1"/>
    <col min="2243" max="2243" width="28.88671875" bestFit="1" customWidth="1"/>
    <col min="2244" max="2282" width="7" customWidth="1"/>
    <col min="2283" max="2284" width="7.5546875" customWidth="1"/>
    <col min="2285" max="2303" width="8" customWidth="1"/>
    <col min="2304" max="2305" width="7.33203125" bestFit="1" customWidth="1"/>
    <col min="2306" max="2308" width="8" bestFit="1" customWidth="1"/>
    <col min="2309" max="2309" width="3" customWidth="1"/>
    <col min="2310" max="2310" width="7.33203125" bestFit="1" customWidth="1"/>
    <col min="2311" max="2314" width="8" bestFit="1" customWidth="1"/>
    <col min="2315" max="2316" width="12" bestFit="1" customWidth="1"/>
    <col min="2317" max="2317" width="11.44140625" bestFit="1" customWidth="1"/>
    <col min="2318" max="2318" width="12" bestFit="1" customWidth="1"/>
    <col min="2319" max="2324" width="11.44140625" bestFit="1" customWidth="1"/>
    <col min="2498" max="2498" width="2.109375" bestFit="1" customWidth="1"/>
    <col min="2499" max="2499" width="28.88671875" bestFit="1" customWidth="1"/>
    <col min="2500" max="2538" width="7" customWidth="1"/>
    <col min="2539" max="2540" width="7.5546875" customWidth="1"/>
    <col min="2541" max="2559" width="8" customWidth="1"/>
    <col min="2560" max="2561" width="7.33203125" bestFit="1" customWidth="1"/>
    <col min="2562" max="2564" width="8" bestFit="1" customWidth="1"/>
    <col min="2565" max="2565" width="3" customWidth="1"/>
    <col min="2566" max="2566" width="7.33203125" bestFit="1" customWidth="1"/>
    <col min="2567" max="2570" width="8" bestFit="1" customWidth="1"/>
    <col min="2571" max="2572" width="12" bestFit="1" customWidth="1"/>
    <col min="2573" max="2573" width="11.44140625" bestFit="1" customWidth="1"/>
    <col min="2574" max="2574" width="12" bestFit="1" customWidth="1"/>
    <col min="2575" max="2580" width="11.44140625" bestFit="1" customWidth="1"/>
    <col min="2754" max="2754" width="2.109375" bestFit="1" customWidth="1"/>
    <col min="2755" max="2755" width="28.88671875" bestFit="1" customWidth="1"/>
    <col min="2756" max="2794" width="7" customWidth="1"/>
    <col min="2795" max="2796" width="7.5546875" customWidth="1"/>
    <col min="2797" max="2815" width="8" customWidth="1"/>
    <col min="2816" max="2817" width="7.33203125" bestFit="1" customWidth="1"/>
    <col min="2818" max="2820" width="8" bestFit="1" customWidth="1"/>
    <col min="2821" max="2821" width="3" customWidth="1"/>
    <col min="2822" max="2822" width="7.33203125" bestFit="1" customWidth="1"/>
    <col min="2823" max="2826" width="8" bestFit="1" customWidth="1"/>
    <col min="2827" max="2828" width="12" bestFit="1" customWidth="1"/>
    <col min="2829" max="2829" width="11.44140625" bestFit="1" customWidth="1"/>
    <col min="2830" max="2830" width="12" bestFit="1" customWidth="1"/>
    <col min="2831" max="2836" width="11.44140625" bestFit="1" customWidth="1"/>
    <col min="3010" max="3010" width="2.109375" bestFit="1" customWidth="1"/>
    <col min="3011" max="3011" width="28.88671875" bestFit="1" customWidth="1"/>
    <col min="3012" max="3050" width="7" customWidth="1"/>
    <col min="3051" max="3052" width="7.5546875" customWidth="1"/>
    <col min="3053" max="3071" width="8" customWidth="1"/>
    <col min="3072" max="3073" width="7.33203125" bestFit="1" customWidth="1"/>
    <col min="3074" max="3076" width="8" bestFit="1" customWidth="1"/>
    <col min="3077" max="3077" width="3" customWidth="1"/>
    <col min="3078" max="3078" width="7.33203125" bestFit="1" customWidth="1"/>
    <col min="3079" max="3082" width="8" bestFit="1" customWidth="1"/>
    <col min="3083" max="3084" width="12" bestFit="1" customWidth="1"/>
    <col min="3085" max="3085" width="11.44140625" bestFit="1" customWidth="1"/>
    <col min="3086" max="3086" width="12" bestFit="1" customWidth="1"/>
    <col min="3087" max="3092" width="11.44140625" bestFit="1" customWidth="1"/>
    <col min="3266" max="3266" width="2.109375" bestFit="1" customWidth="1"/>
    <col min="3267" max="3267" width="28.88671875" bestFit="1" customWidth="1"/>
    <col min="3268" max="3306" width="7" customWidth="1"/>
    <col min="3307" max="3308" width="7.5546875" customWidth="1"/>
    <col min="3309" max="3327" width="8" customWidth="1"/>
    <col min="3328" max="3329" width="7.33203125" bestFit="1" customWidth="1"/>
    <col min="3330" max="3332" width="8" bestFit="1" customWidth="1"/>
    <col min="3333" max="3333" width="3" customWidth="1"/>
    <col min="3334" max="3334" width="7.33203125" bestFit="1" customWidth="1"/>
    <col min="3335" max="3338" width="8" bestFit="1" customWidth="1"/>
    <col min="3339" max="3340" width="12" bestFit="1" customWidth="1"/>
    <col min="3341" max="3341" width="11.44140625" bestFit="1" customWidth="1"/>
    <col min="3342" max="3342" width="12" bestFit="1" customWidth="1"/>
    <col min="3343" max="3348" width="11.44140625" bestFit="1" customWidth="1"/>
    <col min="3522" max="3522" width="2.109375" bestFit="1" customWidth="1"/>
    <col min="3523" max="3523" width="28.88671875" bestFit="1" customWidth="1"/>
    <col min="3524" max="3562" width="7" customWidth="1"/>
    <col min="3563" max="3564" width="7.5546875" customWidth="1"/>
    <col min="3565" max="3583" width="8" customWidth="1"/>
    <col min="3584" max="3585" width="7.33203125" bestFit="1" customWidth="1"/>
    <col min="3586" max="3588" width="8" bestFit="1" customWidth="1"/>
    <col min="3589" max="3589" width="3" customWidth="1"/>
    <col min="3590" max="3590" width="7.33203125" bestFit="1" customWidth="1"/>
    <col min="3591" max="3594" width="8" bestFit="1" customWidth="1"/>
    <col min="3595" max="3596" width="12" bestFit="1" customWidth="1"/>
    <col min="3597" max="3597" width="11.44140625" bestFit="1" customWidth="1"/>
    <col min="3598" max="3598" width="12" bestFit="1" customWidth="1"/>
    <col min="3599" max="3604" width="11.44140625" bestFit="1" customWidth="1"/>
    <col min="3778" max="3778" width="2.109375" bestFit="1" customWidth="1"/>
    <col min="3779" max="3779" width="28.88671875" bestFit="1" customWidth="1"/>
    <col min="3780" max="3818" width="7" customWidth="1"/>
    <col min="3819" max="3820" width="7.5546875" customWidth="1"/>
    <col min="3821" max="3839" width="8" customWidth="1"/>
    <col min="3840" max="3841" width="7.33203125" bestFit="1" customWidth="1"/>
    <col min="3842" max="3844" width="8" bestFit="1" customWidth="1"/>
    <col min="3845" max="3845" width="3" customWidth="1"/>
    <col min="3846" max="3846" width="7.33203125" bestFit="1" customWidth="1"/>
    <col min="3847" max="3850" width="8" bestFit="1" customWidth="1"/>
    <col min="3851" max="3852" width="12" bestFit="1" customWidth="1"/>
    <col min="3853" max="3853" width="11.44140625" bestFit="1" customWidth="1"/>
    <col min="3854" max="3854" width="12" bestFit="1" customWidth="1"/>
    <col min="3855" max="3860" width="11.44140625" bestFit="1" customWidth="1"/>
    <col min="4034" max="4034" width="2.109375" bestFit="1" customWidth="1"/>
    <col min="4035" max="4035" width="28.88671875" bestFit="1" customWidth="1"/>
    <col min="4036" max="4074" width="7" customWidth="1"/>
    <col min="4075" max="4076" width="7.5546875" customWidth="1"/>
    <col min="4077" max="4095" width="8" customWidth="1"/>
    <col min="4096" max="4097" width="7.33203125" bestFit="1" customWidth="1"/>
    <col min="4098" max="4100" width="8" bestFit="1" customWidth="1"/>
    <col min="4101" max="4101" width="3" customWidth="1"/>
    <col min="4102" max="4102" width="7.33203125" bestFit="1" customWidth="1"/>
    <col min="4103" max="4106" width="8" bestFit="1" customWidth="1"/>
    <col min="4107" max="4108" width="12" bestFit="1" customWidth="1"/>
    <col min="4109" max="4109" width="11.44140625" bestFit="1" customWidth="1"/>
    <col min="4110" max="4110" width="12" bestFit="1" customWidth="1"/>
    <col min="4111" max="4116" width="11.44140625" bestFit="1" customWidth="1"/>
    <col min="4290" max="4290" width="2.109375" bestFit="1" customWidth="1"/>
    <col min="4291" max="4291" width="28.88671875" bestFit="1" customWidth="1"/>
    <col min="4292" max="4330" width="7" customWidth="1"/>
    <col min="4331" max="4332" width="7.5546875" customWidth="1"/>
    <col min="4333" max="4351" width="8" customWidth="1"/>
    <col min="4352" max="4353" width="7.33203125" bestFit="1" customWidth="1"/>
    <col min="4354" max="4356" width="8" bestFit="1" customWidth="1"/>
    <col min="4357" max="4357" width="3" customWidth="1"/>
    <col min="4358" max="4358" width="7.33203125" bestFit="1" customWidth="1"/>
    <col min="4359" max="4362" width="8" bestFit="1" customWidth="1"/>
    <col min="4363" max="4364" width="12" bestFit="1" customWidth="1"/>
    <col min="4365" max="4365" width="11.44140625" bestFit="1" customWidth="1"/>
    <col min="4366" max="4366" width="12" bestFit="1" customWidth="1"/>
    <col min="4367" max="4372" width="11.44140625" bestFit="1" customWidth="1"/>
    <col min="4546" max="4546" width="2.109375" bestFit="1" customWidth="1"/>
    <col min="4547" max="4547" width="28.88671875" bestFit="1" customWidth="1"/>
    <col min="4548" max="4586" width="7" customWidth="1"/>
    <col min="4587" max="4588" width="7.5546875" customWidth="1"/>
    <col min="4589" max="4607" width="8" customWidth="1"/>
    <col min="4608" max="4609" width="7.33203125" bestFit="1" customWidth="1"/>
    <col min="4610" max="4612" width="8" bestFit="1" customWidth="1"/>
    <col min="4613" max="4613" width="3" customWidth="1"/>
    <col min="4614" max="4614" width="7.33203125" bestFit="1" customWidth="1"/>
    <col min="4615" max="4618" width="8" bestFit="1" customWidth="1"/>
    <col min="4619" max="4620" width="12" bestFit="1" customWidth="1"/>
    <col min="4621" max="4621" width="11.44140625" bestFit="1" customWidth="1"/>
    <col min="4622" max="4622" width="12" bestFit="1" customWidth="1"/>
    <col min="4623" max="4628" width="11.44140625" bestFit="1" customWidth="1"/>
    <col min="4802" max="4802" width="2.109375" bestFit="1" customWidth="1"/>
    <col min="4803" max="4803" width="28.88671875" bestFit="1" customWidth="1"/>
    <col min="4804" max="4842" width="7" customWidth="1"/>
    <col min="4843" max="4844" width="7.5546875" customWidth="1"/>
    <col min="4845" max="4863" width="8" customWidth="1"/>
    <col min="4864" max="4865" width="7.33203125" bestFit="1" customWidth="1"/>
    <col min="4866" max="4868" width="8" bestFit="1" customWidth="1"/>
    <col min="4869" max="4869" width="3" customWidth="1"/>
    <col min="4870" max="4870" width="7.33203125" bestFit="1" customWidth="1"/>
    <col min="4871" max="4874" width="8" bestFit="1" customWidth="1"/>
    <col min="4875" max="4876" width="12" bestFit="1" customWidth="1"/>
    <col min="4877" max="4877" width="11.44140625" bestFit="1" customWidth="1"/>
    <col min="4878" max="4878" width="12" bestFit="1" customWidth="1"/>
    <col min="4879" max="4884" width="11.44140625" bestFit="1" customWidth="1"/>
    <col min="5058" max="5058" width="2.109375" bestFit="1" customWidth="1"/>
    <col min="5059" max="5059" width="28.88671875" bestFit="1" customWidth="1"/>
    <col min="5060" max="5098" width="7" customWidth="1"/>
    <col min="5099" max="5100" width="7.5546875" customWidth="1"/>
    <col min="5101" max="5119" width="8" customWidth="1"/>
    <col min="5120" max="5121" width="7.33203125" bestFit="1" customWidth="1"/>
    <col min="5122" max="5124" width="8" bestFit="1" customWidth="1"/>
    <col min="5125" max="5125" width="3" customWidth="1"/>
    <col min="5126" max="5126" width="7.33203125" bestFit="1" customWidth="1"/>
    <col min="5127" max="5130" width="8" bestFit="1" customWidth="1"/>
    <col min="5131" max="5132" width="12" bestFit="1" customWidth="1"/>
    <col min="5133" max="5133" width="11.44140625" bestFit="1" customWidth="1"/>
    <col min="5134" max="5134" width="12" bestFit="1" customWidth="1"/>
    <col min="5135" max="5140" width="11.44140625" bestFit="1" customWidth="1"/>
    <col min="5314" max="5314" width="2.109375" bestFit="1" customWidth="1"/>
    <col min="5315" max="5315" width="28.88671875" bestFit="1" customWidth="1"/>
    <col min="5316" max="5354" width="7" customWidth="1"/>
    <col min="5355" max="5356" width="7.5546875" customWidth="1"/>
    <col min="5357" max="5375" width="8" customWidth="1"/>
    <col min="5376" max="5377" width="7.33203125" bestFit="1" customWidth="1"/>
    <col min="5378" max="5380" width="8" bestFit="1" customWidth="1"/>
    <col min="5381" max="5381" width="3" customWidth="1"/>
    <col min="5382" max="5382" width="7.33203125" bestFit="1" customWidth="1"/>
    <col min="5383" max="5386" width="8" bestFit="1" customWidth="1"/>
    <col min="5387" max="5388" width="12" bestFit="1" customWidth="1"/>
    <col min="5389" max="5389" width="11.44140625" bestFit="1" customWidth="1"/>
    <col min="5390" max="5390" width="12" bestFit="1" customWidth="1"/>
    <col min="5391" max="5396" width="11.44140625" bestFit="1" customWidth="1"/>
    <col min="5570" max="5570" width="2.109375" bestFit="1" customWidth="1"/>
    <col min="5571" max="5571" width="28.88671875" bestFit="1" customWidth="1"/>
    <col min="5572" max="5610" width="7" customWidth="1"/>
    <col min="5611" max="5612" width="7.5546875" customWidth="1"/>
    <col min="5613" max="5631" width="8" customWidth="1"/>
    <col min="5632" max="5633" width="7.33203125" bestFit="1" customWidth="1"/>
    <col min="5634" max="5636" width="8" bestFit="1" customWidth="1"/>
    <col min="5637" max="5637" width="3" customWidth="1"/>
    <col min="5638" max="5638" width="7.33203125" bestFit="1" customWidth="1"/>
    <col min="5639" max="5642" width="8" bestFit="1" customWidth="1"/>
    <col min="5643" max="5644" width="12" bestFit="1" customWidth="1"/>
    <col min="5645" max="5645" width="11.44140625" bestFit="1" customWidth="1"/>
    <col min="5646" max="5646" width="12" bestFit="1" customWidth="1"/>
    <col min="5647" max="5652" width="11.44140625" bestFit="1" customWidth="1"/>
    <col min="5826" max="5826" width="2.109375" bestFit="1" customWidth="1"/>
    <col min="5827" max="5827" width="28.88671875" bestFit="1" customWidth="1"/>
    <col min="5828" max="5866" width="7" customWidth="1"/>
    <col min="5867" max="5868" width="7.5546875" customWidth="1"/>
    <col min="5869" max="5887" width="8" customWidth="1"/>
    <col min="5888" max="5889" width="7.33203125" bestFit="1" customWidth="1"/>
    <col min="5890" max="5892" width="8" bestFit="1" customWidth="1"/>
    <col min="5893" max="5893" width="3" customWidth="1"/>
    <col min="5894" max="5894" width="7.33203125" bestFit="1" customWidth="1"/>
    <col min="5895" max="5898" width="8" bestFit="1" customWidth="1"/>
    <col min="5899" max="5900" width="12" bestFit="1" customWidth="1"/>
    <col min="5901" max="5901" width="11.44140625" bestFit="1" customWidth="1"/>
    <col min="5902" max="5902" width="12" bestFit="1" customWidth="1"/>
    <col min="5903" max="5908" width="11.44140625" bestFit="1" customWidth="1"/>
    <col min="6082" max="6082" width="2.109375" bestFit="1" customWidth="1"/>
    <col min="6083" max="6083" width="28.88671875" bestFit="1" customWidth="1"/>
    <col min="6084" max="6122" width="7" customWidth="1"/>
    <col min="6123" max="6124" width="7.5546875" customWidth="1"/>
    <col min="6125" max="6143" width="8" customWidth="1"/>
    <col min="6144" max="6145" width="7.33203125" bestFit="1" customWidth="1"/>
    <col min="6146" max="6148" width="8" bestFit="1" customWidth="1"/>
    <col min="6149" max="6149" width="3" customWidth="1"/>
    <col min="6150" max="6150" width="7.33203125" bestFit="1" customWidth="1"/>
    <col min="6151" max="6154" width="8" bestFit="1" customWidth="1"/>
    <col min="6155" max="6156" width="12" bestFit="1" customWidth="1"/>
    <col min="6157" max="6157" width="11.44140625" bestFit="1" customWidth="1"/>
    <col min="6158" max="6158" width="12" bestFit="1" customWidth="1"/>
    <col min="6159" max="6164" width="11.44140625" bestFit="1" customWidth="1"/>
    <col min="6338" max="6338" width="2.109375" bestFit="1" customWidth="1"/>
    <col min="6339" max="6339" width="28.88671875" bestFit="1" customWidth="1"/>
    <col min="6340" max="6378" width="7" customWidth="1"/>
    <col min="6379" max="6380" width="7.5546875" customWidth="1"/>
    <col min="6381" max="6399" width="8" customWidth="1"/>
    <col min="6400" max="6401" width="7.33203125" bestFit="1" customWidth="1"/>
    <col min="6402" max="6404" width="8" bestFit="1" customWidth="1"/>
    <col min="6405" max="6405" width="3" customWidth="1"/>
    <col min="6406" max="6406" width="7.33203125" bestFit="1" customWidth="1"/>
    <col min="6407" max="6410" width="8" bestFit="1" customWidth="1"/>
    <col min="6411" max="6412" width="12" bestFit="1" customWidth="1"/>
    <col min="6413" max="6413" width="11.44140625" bestFit="1" customWidth="1"/>
    <col min="6414" max="6414" width="12" bestFit="1" customWidth="1"/>
    <col min="6415" max="6420" width="11.44140625" bestFit="1" customWidth="1"/>
    <col min="6594" max="6594" width="2.109375" bestFit="1" customWidth="1"/>
    <col min="6595" max="6595" width="28.88671875" bestFit="1" customWidth="1"/>
    <col min="6596" max="6634" width="7" customWidth="1"/>
    <col min="6635" max="6636" width="7.5546875" customWidth="1"/>
    <col min="6637" max="6655" width="8" customWidth="1"/>
    <col min="6656" max="6657" width="7.33203125" bestFit="1" customWidth="1"/>
    <col min="6658" max="6660" width="8" bestFit="1" customWidth="1"/>
    <col min="6661" max="6661" width="3" customWidth="1"/>
    <col min="6662" max="6662" width="7.33203125" bestFit="1" customWidth="1"/>
    <col min="6663" max="6666" width="8" bestFit="1" customWidth="1"/>
    <col min="6667" max="6668" width="12" bestFit="1" customWidth="1"/>
    <col min="6669" max="6669" width="11.44140625" bestFit="1" customWidth="1"/>
    <col min="6670" max="6670" width="12" bestFit="1" customWidth="1"/>
    <col min="6671" max="6676" width="11.44140625" bestFit="1" customWidth="1"/>
    <col min="6850" max="6850" width="2.109375" bestFit="1" customWidth="1"/>
    <col min="6851" max="6851" width="28.88671875" bestFit="1" customWidth="1"/>
    <col min="6852" max="6890" width="7" customWidth="1"/>
    <col min="6891" max="6892" width="7.5546875" customWidth="1"/>
    <col min="6893" max="6911" width="8" customWidth="1"/>
    <col min="6912" max="6913" width="7.33203125" bestFit="1" customWidth="1"/>
    <col min="6914" max="6916" width="8" bestFit="1" customWidth="1"/>
    <col min="6917" max="6917" width="3" customWidth="1"/>
    <col min="6918" max="6918" width="7.33203125" bestFit="1" customWidth="1"/>
    <col min="6919" max="6922" width="8" bestFit="1" customWidth="1"/>
    <col min="6923" max="6924" width="12" bestFit="1" customWidth="1"/>
    <col min="6925" max="6925" width="11.44140625" bestFit="1" customWidth="1"/>
    <col min="6926" max="6926" width="12" bestFit="1" customWidth="1"/>
    <col min="6927" max="6932" width="11.44140625" bestFit="1" customWidth="1"/>
    <col min="7106" max="7106" width="2.109375" bestFit="1" customWidth="1"/>
    <col min="7107" max="7107" width="28.88671875" bestFit="1" customWidth="1"/>
    <col min="7108" max="7146" width="7" customWidth="1"/>
    <col min="7147" max="7148" width="7.5546875" customWidth="1"/>
    <col min="7149" max="7167" width="8" customWidth="1"/>
    <col min="7168" max="7169" width="7.33203125" bestFit="1" customWidth="1"/>
    <col min="7170" max="7172" width="8" bestFit="1" customWidth="1"/>
    <col min="7173" max="7173" width="3" customWidth="1"/>
    <col min="7174" max="7174" width="7.33203125" bestFit="1" customWidth="1"/>
    <col min="7175" max="7178" width="8" bestFit="1" customWidth="1"/>
    <col min="7179" max="7180" width="12" bestFit="1" customWidth="1"/>
    <col min="7181" max="7181" width="11.44140625" bestFit="1" customWidth="1"/>
    <col min="7182" max="7182" width="12" bestFit="1" customWidth="1"/>
    <col min="7183" max="7188" width="11.44140625" bestFit="1" customWidth="1"/>
    <col min="7362" max="7362" width="2.109375" bestFit="1" customWidth="1"/>
    <col min="7363" max="7363" width="28.88671875" bestFit="1" customWidth="1"/>
    <col min="7364" max="7402" width="7" customWidth="1"/>
    <col min="7403" max="7404" width="7.5546875" customWidth="1"/>
    <col min="7405" max="7423" width="8" customWidth="1"/>
    <col min="7424" max="7425" width="7.33203125" bestFit="1" customWidth="1"/>
    <col min="7426" max="7428" width="8" bestFit="1" customWidth="1"/>
    <col min="7429" max="7429" width="3" customWidth="1"/>
    <col min="7430" max="7430" width="7.33203125" bestFit="1" customWidth="1"/>
    <col min="7431" max="7434" width="8" bestFit="1" customWidth="1"/>
    <col min="7435" max="7436" width="12" bestFit="1" customWidth="1"/>
    <col min="7437" max="7437" width="11.44140625" bestFit="1" customWidth="1"/>
    <col min="7438" max="7438" width="12" bestFit="1" customWidth="1"/>
    <col min="7439" max="7444" width="11.44140625" bestFit="1" customWidth="1"/>
    <col min="7618" max="7618" width="2.109375" bestFit="1" customWidth="1"/>
    <col min="7619" max="7619" width="28.88671875" bestFit="1" customWidth="1"/>
    <col min="7620" max="7658" width="7" customWidth="1"/>
    <col min="7659" max="7660" width="7.5546875" customWidth="1"/>
    <col min="7661" max="7679" width="8" customWidth="1"/>
    <col min="7680" max="7681" width="7.33203125" bestFit="1" customWidth="1"/>
    <col min="7682" max="7684" width="8" bestFit="1" customWidth="1"/>
    <col min="7685" max="7685" width="3" customWidth="1"/>
    <col min="7686" max="7686" width="7.33203125" bestFit="1" customWidth="1"/>
    <col min="7687" max="7690" width="8" bestFit="1" customWidth="1"/>
    <col min="7691" max="7692" width="12" bestFit="1" customWidth="1"/>
    <col min="7693" max="7693" width="11.44140625" bestFit="1" customWidth="1"/>
    <col min="7694" max="7694" width="12" bestFit="1" customWidth="1"/>
    <col min="7695" max="7700" width="11.44140625" bestFit="1" customWidth="1"/>
    <col min="7874" max="7874" width="2.109375" bestFit="1" customWidth="1"/>
    <col min="7875" max="7875" width="28.88671875" bestFit="1" customWidth="1"/>
    <col min="7876" max="7914" width="7" customWidth="1"/>
    <col min="7915" max="7916" width="7.5546875" customWidth="1"/>
    <col min="7917" max="7935" width="8" customWidth="1"/>
    <col min="7936" max="7937" width="7.33203125" bestFit="1" customWidth="1"/>
    <col min="7938" max="7940" width="8" bestFit="1" customWidth="1"/>
    <col min="7941" max="7941" width="3" customWidth="1"/>
    <col min="7942" max="7942" width="7.33203125" bestFit="1" customWidth="1"/>
    <col min="7943" max="7946" width="8" bestFit="1" customWidth="1"/>
    <col min="7947" max="7948" width="12" bestFit="1" customWidth="1"/>
    <col min="7949" max="7949" width="11.44140625" bestFit="1" customWidth="1"/>
    <col min="7950" max="7950" width="12" bestFit="1" customWidth="1"/>
    <col min="7951" max="7956" width="11.44140625" bestFit="1" customWidth="1"/>
    <col min="8130" max="8130" width="2.109375" bestFit="1" customWidth="1"/>
    <col min="8131" max="8131" width="28.88671875" bestFit="1" customWidth="1"/>
    <col min="8132" max="8170" width="7" customWidth="1"/>
    <col min="8171" max="8172" width="7.5546875" customWidth="1"/>
    <col min="8173" max="8191" width="8" customWidth="1"/>
    <col min="8192" max="8193" width="7.33203125" bestFit="1" customWidth="1"/>
    <col min="8194" max="8196" width="8" bestFit="1" customWidth="1"/>
    <col min="8197" max="8197" width="3" customWidth="1"/>
    <col min="8198" max="8198" width="7.33203125" bestFit="1" customWidth="1"/>
    <col min="8199" max="8202" width="8" bestFit="1" customWidth="1"/>
    <col min="8203" max="8204" width="12" bestFit="1" customWidth="1"/>
    <col min="8205" max="8205" width="11.44140625" bestFit="1" customWidth="1"/>
    <col min="8206" max="8206" width="12" bestFit="1" customWidth="1"/>
    <col min="8207" max="8212" width="11.44140625" bestFit="1" customWidth="1"/>
    <col min="8386" max="8386" width="2.109375" bestFit="1" customWidth="1"/>
    <col min="8387" max="8387" width="28.88671875" bestFit="1" customWidth="1"/>
    <col min="8388" max="8426" width="7" customWidth="1"/>
    <col min="8427" max="8428" width="7.5546875" customWidth="1"/>
    <col min="8429" max="8447" width="8" customWidth="1"/>
    <col min="8448" max="8449" width="7.33203125" bestFit="1" customWidth="1"/>
    <col min="8450" max="8452" width="8" bestFit="1" customWidth="1"/>
    <col min="8453" max="8453" width="3" customWidth="1"/>
    <col min="8454" max="8454" width="7.33203125" bestFit="1" customWidth="1"/>
    <col min="8455" max="8458" width="8" bestFit="1" customWidth="1"/>
    <col min="8459" max="8460" width="12" bestFit="1" customWidth="1"/>
    <col min="8461" max="8461" width="11.44140625" bestFit="1" customWidth="1"/>
    <col min="8462" max="8462" width="12" bestFit="1" customWidth="1"/>
    <col min="8463" max="8468" width="11.44140625" bestFit="1" customWidth="1"/>
    <col min="8642" max="8642" width="2.109375" bestFit="1" customWidth="1"/>
    <col min="8643" max="8643" width="28.88671875" bestFit="1" customWidth="1"/>
    <col min="8644" max="8682" width="7" customWidth="1"/>
    <col min="8683" max="8684" width="7.5546875" customWidth="1"/>
    <col min="8685" max="8703" width="8" customWidth="1"/>
    <col min="8704" max="8705" width="7.33203125" bestFit="1" customWidth="1"/>
    <col min="8706" max="8708" width="8" bestFit="1" customWidth="1"/>
    <col min="8709" max="8709" width="3" customWidth="1"/>
    <col min="8710" max="8710" width="7.33203125" bestFit="1" customWidth="1"/>
    <col min="8711" max="8714" width="8" bestFit="1" customWidth="1"/>
    <col min="8715" max="8716" width="12" bestFit="1" customWidth="1"/>
    <col min="8717" max="8717" width="11.44140625" bestFit="1" customWidth="1"/>
    <col min="8718" max="8718" width="12" bestFit="1" customWidth="1"/>
    <col min="8719" max="8724" width="11.44140625" bestFit="1" customWidth="1"/>
    <col min="8898" max="8898" width="2.109375" bestFit="1" customWidth="1"/>
    <col min="8899" max="8899" width="28.88671875" bestFit="1" customWidth="1"/>
    <col min="8900" max="8938" width="7" customWidth="1"/>
    <col min="8939" max="8940" width="7.5546875" customWidth="1"/>
    <col min="8941" max="8959" width="8" customWidth="1"/>
    <col min="8960" max="8961" width="7.33203125" bestFit="1" customWidth="1"/>
    <col min="8962" max="8964" width="8" bestFit="1" customWidth="1"/>
    <col min="8965" max="8965" width="3" customWidth="1"/>
    <col min="8966" max="8966" width="7.33203125" bestFit="1" customWidth="1"/>
    <col min="8967" max="8970" width="8" bestFit="1" customWidth="1"/>
    <col min="8971" max="8972" width="12" bestFit="1" customWidth="1"/>
    <col min="8973" max="8973" width="11.44140625" bestFit="1" customWidth="1"/>
    <col min="8974" max="8974" width="12" bestFit="1" customWidth="1"/>
    <col min="8975" max="8980" width="11.44140625" bestFit="1" customWidth="1"/>
    <col min="9154" max="9154" width="2.109375" bestFit="1" customWidth="1"/>
    <col min="9155" max="9155" width="28.88671875" bestFit="1" customWidth="1"/>
    <col min="9156" max="9194" width="7" customWidth="1"/>
    <col min="9195" max="9196" width="7.5546875" customWidth="1"/>
    <col min="9197" max="9215" width="8" customWidth="1"/>
    <col min="9216" max="9217" width="7.33203125" bestFit="1" customWidth="1"/>
    <col min="9218" max="9220" width="8" bestFit="1" customWidth="1"/>
    <col min="9221" max="9221" width="3" customWidth="1"/>
    <col min="9222" max="9222" width="7.33203125" bestFit="1" customWidth="1"/>
    <col min="9223" max="9226" width="8" bestFit="1" customWidth="1"/>
    <col min="9227" max="9228" width="12" bestFit="1" customWidth="1"/>
    <col min="9229" max="9229" width="11.44140625" bestFit="1" customWidth="1"/>
    <col min="9230" max="9230" width="12" bestFit="1" customWidth="1"/>
    <col min="9231" max="9236" width="11.44140625" bestFit="1" customWidth="1"/>
    <col min="9410" max="9410" width="2.109375" bestFit="1" customWidth="1"/>
    <col min="9411" max="9411" width="28.88671875" bestFit="1" customWidth="1"/>
    <col min="9412" max="9450" width="7" customWidth="1"/>
    <col min="9451" max="9452" width="7.5546875" customWidth="1"/>
    <col min="9453" max="9471" width="8" customWidth="1"/>
    <col min="9472" max="9473" width="7.33203125" bestFit="1" customWidth="1"/>
    <col min="9474" max="9476" width="8" bestFit="1" customWidth="1"/>
    <col min="9477" max="9477" width="3" customWidth="1"/>
    <col min="9478" max="9478" width="7.33203125" bestFit="1" customWidth="1"/>
    <col min="9479" max="9482" width="8" bestFit="1" customWidth="1"/>
    <col min="9483" max="9484" width="12" bestFit="1" customWidth="1"/>
    <col min="9485" max="9485" width="11.44140625" bestFit="1" customWidth="1"/>
    <col min="9486" max="9486" width="12" bestFit="1" customWidth="1"/>
    <col min="9487" max="9492" width="11.44140625" bestFit="1" customWidth="1"/>
    <col min="9666" max="9666" width="2.109375" bestFit="1" customWidth="1"/>
    <col min="9667" max="9667" width="28.88671875" bestFit="1" customWidth="1"/>
    <col min="9668" max="9706" width="7" customWidth="1"/>
    <col min="9707" max="9708" width="7.5546875" customWidth="1"/>
    <col min="9709" max="9727" width="8" customWidth="1"/>
    <col min="9728" max="9729" width="7.33203125" bestFit="1" customWidth="1"/>
    <col min="9730" max="9732" width="8" bestFit="1" customWidth="1"/>
    <col min="9733" max="9733" width="3" customWidth="1"/>
    <col min="9734" max="9734" width="7.33203125" bestFit="1" customWidth="1"/>
    <col min="9735" max="9738" width="8" bestFit="1" customWidth="1"/>
    <col min="9739" max="9740" width="12" bestFit="1" customWidth="1"/>
    <col min="9741" max="9741" width="11.44140625" bestFit="1" customWidth="1"/>
    <col min="9742" max="9742" width="12" bestFit="1" customWidth="1"/>
    <col min="9743" max="9748" width="11.44140625" bestFit="1" customWidth="1"/>
    <col min="9922" max="9922" width="2.109375" bestFit="1" customWidth="1"/>
    <col min="9923" max="9923" width="28.88671875" bestFit="1" customWidth="1"/>
    <col min="9924" max="9962" width="7" customWidth="1"/>
    <col min="9963" max="9964" width="7.5546875" customWidth="1"/>
    <col min="9965" max="9983" width="8" customWidth="1"/>
    <col min="9984" max="9985" width="7.33203125" bestFit="1" customWidth="1"/>
    <col min="9986" max="9988" width="8" bestFit="1" customWidth="1"/>
    <col min="9989" max="9989" width="3" customWidth="1"/>
    <col min="9990" max="9990" width="7.33203125" bestFit="1" customWidth="1"/>
    <col min="9991" max="9994" width="8" bestFit="1" customWidth="1"/>
    <col min="9995" max="9996" width="12" bestFit="1" customWidth="1"/>
    <col min="9997" max="9997" width="11.44140625" bestFit="1" customWidth="1"/>
    <col min="9998" max="9998" width="12" bestFit="1" customWidth="1"/>
    <col min="9999" max="10004" width="11.44140625" bestFit="1" customWidth="1"/>
    <col min="10178" max="10178" width="2.109375" bestFit="1" customWidth="1"/>
    <col min="10179" max="10179" width="28.88671875" bestFit="1" customWidth="1"/>
    <col min="10180" max="10218" width="7" customWidth="1"/>
    <col min="10219" max="10220" width="7.5546875" customWidth="1"/>
    <col min="10221" max="10239" width="8" customWidth="1"/>
    <col min="10240" max="10241" width="7.33203125" bestFit="1" customWidth="1"/>
    <col min="10242" max="10244" width="8" bestFit="1" customWidth="1"/>
    <col min="10245" max="10245" width="3" customWidth="1"/>
    <col min="10246" max="10246" width="7.33203125" bestFit="1" customWidth="1"/>
    <col min="10247" max="10250" width="8" bestFit="1" customWidth="1"/>
    <col min="10251" max="10252" width="12" bestFit="1" customWidth="1"/>
    <col min="10253" max="10253" width="11.44140625" bestFit="1" customWidth="1"/>
    <col min="10254" max="10254" width="12" bestFit="1" customWidth="1"/>
    <col min="10255" max="10260" width="11.44140625" bestFit="1" customWidth="1"/>
    <col min="10434" max="10434" width="2.109375" bestFit="1" customWidth="1"/>
    <col min="10435" max="10435" width="28.88671875" bestFit="1" customWidth="1"/>
    <col min="10436" max="10474" width="7" customWidth="1"/>
    <col min="10475" max="10476" width="7.5546875" customWidth="1"/>
    <col min="10477" max="10495" width="8" customWidth="1"/>
    <col min="10496" max="10497" width="7.33203125" bestFit="1" customWidth="1"/>
    <col min="10498" max="10500" width="8" bestFit="1" customWidth="1"/>
    <col min="10501" max="10501" width="3" customWidth="1"/>
    <col min="10502" max="10502" width="7.33203125" bestFit="1" customWidth="1"/>
    <col min="10503" max="10506" width="8" bestFit="1" customWidth="1"/>
    <col min="10507" max="10508" width="12" bestFit="1" customWidth="1"/>
    <col min="10509" max="10509" width="11.44140625" bestFit="1" customWidth="1"/>
    <col min="10510" max="10510" width="12" bestFit="1" customWidth="1"/>
    <col min="10511" max="10516" width="11.44140625" bestFit="1" customWidth="1"/>
    <col min="10690" max="10690" width="2.109375" bestFit="1" customWidth="1"/>
    <col min="10691" max="10691" width="28.88671875" bestFit="1" customWidth="1"/>
    <col min="10692" max="10730" width="7" customWidth="1"/>
    <col min="10731" max="10732" width="7.5546875" customWidth="1"/>
    <col min="10733" max="10751" width="8" customWidth="1"/>
    <col min="10752" max="10753" width="7.33203125" bestFit="1" customWidth="1"/>
    <col min="10754" max="10756" width="8" bestFit="1" customWidth="1"/>
    <col min="10757" max="10757" width="3" customWidth="1"/>
    <col min="10758" max="10758" width="7.33203125" bestFit="1" customWidth="1"/>
    <col min="10759" max="10762" width="8" bestFit="1" customWidth="1"/>
    <col min="10763" max="10764" width="12" bestFit="1" customWidth="1"/>
    <col min="10765" max="10765" width="11.44140625" bestFit="1" customWidth="1"/>
    <col min="10766" max="10766" width="12" bestFit="1" customWidth="1"/>
    <col min="10767" max="10772" width="11.44140625" bestFit="1" customWidth="1"/>
    <col min="10946" max="10946" width="2.109375" bestFit="1" customWidth="1"/>
    <col min="10947" max="10947" width="28.88671875" bestFit="1" customWidth="1"/>
    <col min="10948" max="10986" width="7" customWidth="1"/>
    <col min="10987" max="10988" width="7.5546875" customWidth="1"/>
    <col min="10989" max="11007" width="8" customWidth="1"/>
    <col min="11008" max="11009" width="7.33203125" bestFit="1" customWidth="1"/>
    <col min="11010" max="11012" width="8" bestFit="1" customWidth="1"/>
    <col min="11013" max="11013" width="3" customWidth="1"/>
    <col min="11014" max="11014" width="7.33203125" bestFit="1" customWidth="1"/>
    <col min="11015" max="11018" width="8" bestFit="1" customWidth="1"/>
    <col min="11019" max="11020" width="12" bestFit="1" customWidth="1"/>
    <col min="11021" max="11021" width="11.44140625" bestFit="1" customWidth="1"/>
    <col min="11022" max="11022" width="12" bestFit="1" customWidth="1"/>
    <col min="11023" max="11028" width="11.44140625" bestFit="1" customWidth="1"/>
    <col min="11202" max="11202" width="2.109375" bestFit="1" customWidth="1"/>
    <col min="11203" max="11203" width="28.88671875" bestFit="1" customWidth="1"/>
    <col min="11204" max="11242" width="7" customWidth="1"/>
    <col min="11243" max="11244" width="7.5546875" customWidth="1"/>
    <col min="11245" max="11263" width="8" customWidth="1"/>
    <col min="11264" max="11265" width="7.33203125" bestFit="1" customWidth="1"/>
    <col min="11266" max="11268" width="8" bestFit="1" customWidth="1"/>
    <col min="11269" max="11269" width="3" customWidth="1"/>
    <col min="11270" max="11270" width="7.33203125" bestFit="1" customWidth="1"/>
    <col min="11271" max="11274" width="8" bestFit="1" customWidth="1"/>
    <col min="11275" max="11276" width="12" bestFit="1" customWidth="1"/>
    <col min="11277" max="11277" width="11.44140625" bestFit="1" customWidth="1"/>
    <col min="11278" max="11278" width="12" bestFit="1" customWidth="1"/>
    <col min="11279" max="11284" width="11.44140625" bestFit="1" customWidth="1"/>
    <col min="11458" max="11458" width="2.109375" bestFit="1" customWidth="1"/>
    <col min="11459" max="11459" width="28.88671875" bestFit="1" customWidth="1"/>
    <col min="11460" max="11498" width="7" customWidth="1"/>
    <col min="11499" max="11500" width="7.5546875" customWidth="1"/>
    <col min="11501" max="11519" width="8" customWidth="1"/>
    <col min="11520" max="11521" width="7.33203125" bestFit="1" customWidth="1"/>
    <col min="11522" max="11524" width="8" bestFit="1" customWidth="1"/>
    <col min="11525" max="11525" width="3" customWidth="1"/>
    <col min="11526" max="11526" width="7.33203125" bestFit="1" customWidth="1"/>
    <col min="11527" max="11530" width="8" bestFit="1" customWidth="1"/>
    <col min="11531" max="11532" width="12" bestFit="1" customWidth="1"/>
    <col min="11533" max="11533" width="11.44140625" bestFit="1" customWidth="1"/>
    <col min="11534" max="11534" width="12" bestFit="1" customWidth="1"/>
    <col min="11535" max="11540" width="11.44140625" bestFit="1" customWidth="1"/>
    <col min="11714" max="11714" width="2.109375" bestFit="1" customWidth="1"/>
    <col min="11715" max="11715" width="28.88671875" bestFit="1" customWidth="1"/>
    <col min="11716" max="11754" width="7" customWidth="1"/>
    <col min="11755" max="11756" width="7.5546875" customWidth="1"/>
    <col min="11757" max="11775" width="8" customWidth="1"/>
    <col min="11776" max="11777" width="7.33203125" bestFit="1" customWidth="1"/>
    <col min="11778" max="11780" width="8" bestFit="1" customWidth="1"/>
    <col min="11781" max="11781" width="3" customWidth="1"/>
    <col min="11782" max="11782" width="7.33203125" bestFit="1" customWidth="1"/>
    <col min="11783" max="11786" width="8" bestFit="1" customWidth="1"/>
    <col min="11787" max="11788" width="12" bestFit="1" customWidth="1"/>
    <col min="11789" max="11789" width="11.44140625" bestFit="1" customWidth="1"/>
    <col min="11790" max="11790" width="12" bestFit="1" customWidth="1"/>
    <col min="11791" max="11796" width="11.44140625" bestFit="1" customWidth="1"/>
    <col min="11970" max="11970" width="2.109375" bestFit="1" customWidth="1"/>
    <col min="11971" max="11971" width="28.88671875" bestFit="1" customWidth="1"/>
    <col min="11972" max="12010" width="7" customWidth="1"/>
    <col min="12011" max="12012" width="7.5546875" customWidth="1"/>
    <col min="12013" max="12031" width="8" customWidth="1"/>
    <col min="12032" max="12033" width="7.33203125" bestFit="1" customWidth="1"/>
    <col min="12034" max="12036" width="8" bestFit="1" customWidth="1"/>
    <col min="12037" max="12037" width="3" customWidth="1"/>
    <col min="12038" max="12038" width="7.33203125" bestFit="1" customWidth="1"/>
    <col min="12039" max="12042" width="8" bestFit="1" customWidth="1"/>
    <col min="12043" max="12044" width="12" bestFit="1" customWidth="1"/>
    <col min="12045" max="12045" width="11.44140625" bestFit="1" customWidth="1"/>
    <col min="12046" max="12046" width="12" bestFit="1" customWidth="1"/>
    <col min="12047" max="12052" width="11.44140625" bestFit="1" customWidth="1"/>
    <col min="12226" max="12226" width="2.109375" bestFit="1" customWidth="1"/>
    <col min="12227" max="12227" width="28.88671875" bestFit="1" customWidth="1"/>
    <col min="12228" max="12266" width="7" customWidth="1"/>
    <col min="12267" max="12268" width="7.5546875" customWidth="1"/>
    <col min="12269" max="12287" width="8" customWidth="1"/>
    <col min="12288" max="12289" width="7.33203125" bestFit="1" customWidth="1"/>
    <col min="12290" max="12292" width="8" bestFit="1" customWidth="1"/>
    <col min="12293" max="12293" width="3" customWidth="1"/>
    <col min="12294" max="12294" width="7.33203125" bestFit="1" customWidth="1"/>
    <col min="12295" max="12298" width="8" bestFit="1" customWidth="1"/>
    <col min="12299" max="12300" width="12" bestFit="1" customWidth="1"/>
    <col min="12301" max="12301" width="11.44140625" bestFit="1" customWidth="1"/>
    <col min="12302" max="12302" width="12" bestFit="1" customWidth="1"/>
    <col min="12303" max="12308" width="11.44140625" bestFit="1" customWidth="1"/>
    <col min="12482" max="12482" width="2.109375" bestFit="1" customWidth="1"/>
    <col min="12483" max="12483" width="28.88671875" bestFit="1" customWidth="1"/>
    <col min="12484" max="12522" width="7" customWidth="1"/>
    <col min="12523" max="12524" width="7.5546875" customWidth="1"/>
    <col min="12525" max="12543" width="8" customWidth="1"/>
    <col min="12544" max="12545" width="7.33203125" bestFit="1" customWidth="1"/>
    <col min="12546" max="12548" width="8" bestFit="1" customWidth="1"/>
    <col min="12549" max="12549" width="3" customWidth="1"/>
    <col min="12550" max="12550" width="7.33203125" bestFit="1" customWidth="1"/>
    <col min="12551" max="12554" width="8" bestFit="1" customWidth="1"/>
    <col min="12555" max="12556" width="12" bestFit="1" customWidth="1"/>
    <col min="12557" max="12557" width="11.44140625" bestFit="1" customWidth="1"/>
    <col min="12558" max="12558" width="12" bestFit="1" customWidth="1"/>
    <col min="12559" max="12564" width="11.44140625" bestFit="1" customWidth="1"/>
    <col min="12738" max="12738" width="2.109375" bestFit="1" customWidth="1"/>
    <col min="12739" max="12739" width="28.88671875" bestFit="1" customWidth="1"/>
    <col min="12740" max="12778" width="7" customWidth="1"/>
    <col min="12779" max="12780" width="7.5546875" customWidth="1"/>
    <col min="12781" max="12799" width="8" customWidth="1"/>
    <col min="12800" max="12801" width="7.33203125" bestFit="1" customWidth="1"/>
    <col min="12802" max="12804" width="8" bestFit="1" customWidth="1"/>
    <col min="12805" max="12805" width="3" customWidth="1"/>
    <col min="12806" max="12806" width="7.33203125" bestFit="1" customWidth="1"/>
    <col min="12807" max="12810" width="8" bestFit="1" customWidth="1"/>
    <col min="12811" max="12812" width="12" bestFit="1" customWidth="1"/>
    <col min="12813" max="12813" width="11.44140625" bestFit="1" customWidth="1"/>
    <col min="12814" max="12814" width="12" bestFit="1" customWidth="1"/>
    <col min="12815" max="12820" width="11.44140625" bestFit="1" customWidth="1"/>
    <col min="12994" max="12994" width="2.109375" bestFit="1" customWidth="1"/>
    <col min="12995" max="12995" width="28.88671875" bestFit="1" customWidth="1"/>
    <col min="12996" max="13034" width="7" customWidth="1"/>
    <col min="13035" max="13036" width="7.5546875" customWidth="1"/>
    <col min="13037" max="13055" width="8" customWidth="1"/>
    <col min="13056" max="13057" width="7.33203125" bestFit="1" customWidth="1"/>
    <col min="13058" max="13060" width="8" bestFit="1" customWidth="1"/>
    <col min="13061" max="13061" width="3" customWidth="1"/>
    <col min="13062" max="13062" width="7.33203125" bestFit="1" customWidth="1"/>
    <col min="13063" max="13066" width="8" bestFit="1" customWidth="1"/>
    <col min="13067" max="13068" width="12" bestFit="1" customWidth="1"/>
    <col min="13069" max="13069" width="11.44140625" bestFit="1" customWidth="1"/>
    <col min="13070" max="13070" width="12" bestFit="1" customWidth="1"/>
    <col min="13071" max="13076" width="11.44140625" bestFit="1" customWidth="1"/>
    <col min="13250" max="13250" width="2.109375" bestFit="1" customWidth="1"/>
    <col min="13251" max="13251" width="28.88671875" bestFit="1" customWidth="1"/>
    <col min="13252" max="13290" width="7" customWidth="1"/>
    <col min="13291" max="13292" width="7.5546875" customWidth="1"/>
    <col min="13293" max="13311" width="8" customWidth="1"/>
    <col min="13312" max="13313" width="7.33203125" bestFit="1" customWidth="1"/>
    <col min="13314" max="13316" width="8" bestFit="1" customWidth="1"/>
    <col min="13317" max="13317" width="3" customWidth="1"/>
    <col min="13318" max="13318" width="7.33203125" bestFit="1" customWidth="1"/>
    <col min="13319" max="13322" width="8" bestFit="1" customWidth="1"/>
    <col min="13323" max="13324" width="12" bestFit="1" customWidth="1"/>
    <col min="13325" max="13325" width="11.44140625" bestFit="1" customWidth="1"/>
    <col min="13326" max="13326" width="12" bestFit="1" customWidth="1"/>
    <col min="13327" max="13332" width="11.44140625" bestFit="1" customWidth="1"/>
    <col min="13506" max="13506" width="2.109375" bestFit="1" customWidth="1"/>
    <col min="13507" max="13507" width="28.88671875" bestFit="1" customWidth="1"/>
    <col min="13508" max="13546" width="7" customWidth="1"/>
    <col min="13547" max="13548" width="7.5546875" customWidth="1"/>
    <col min="13549" max="13567" width="8" customWidth="1"/>
    <col min="13568" max="13569" width="7.33203125" bestFit="1" customWidth="1"/>
    <col min="13570" max="13572" width="8" bestFit="1" customWidth="1"/>
    <col min="13573" max="13573" width="3" customWidth="1"/>
    <col min="13574" max="13574" width="7.33203125" bestFit="1" customWidth="1"/>
    <col min="13575" max="13578" width="8" bestFit="1" customWidth="1"/>
    <col min="13579" max="13580" width="12" bestFit="1" customWidth="1"/>
    <col min="13581" max="13581" width="11.44140625" bestFit="1" customWidth="1"/>
    <col min="13582" max="13582" width="12" bestFit="1" customWidth="1"/>
    <col min="13583" max="13588" width="11.44140625" bestFit="1" customWidth="1"/>
    <col min="13762" max="13762" width="2.109375" bestFit="1" customWidth="1"/>
    <col min="13763" max="13763" width="28.88671875" bestFit="1" customWidth="1"/>
    <col min="13764" max="13802" width="7" customWidth="1"/>
    <col min="13803" max="13804" width="7.5546875" customWidth="1"/>
    <col min="13805" max="13823" width="8" customWidth="1"/>
    <col min="13824" max="13825" width="7.33203125" bestFit="1" customWidth="1"/>
    <col min="13826" max="13828" width="8" bestFit="1" customWidth="1"/>
    <col min="13829" max="13829" width="3" customWidth="1"/>
    <col min="13830" max="13830" width="7.33203125" bestFit="1" customWidth="1"/>
    <col min="13831" max="13834" width="8" bestFit="1" customWidth="1"/>
    <col min="13835" max="13836" width="12" bestFit="1" customWidth="1"/>
    <col min="13837" max="13837" width="11.44140625" bestFit="1" customWidth="1"/>
    <col min="13838" max="13838" width="12" bestFit="1" customWidth="1"/>
    <col min="13839" max="13844" width="11.44140625" bestFit="1" customWidth="1"/>
    <col min="14018" max="14018" width="2.109375" bestFit="1" customWidth="1"/>
    <col min="14019" max="14019" width="28.88671875" bestFit="1" customWidth="1"/>
    <col min="14020" max="14058" width="7" customWidth="1"/>
    <col min="14059" max="14060" width="7.5546875" customWidth="1"/>
    <col min="14061" max="14079" width="8" customWidth="1"/>
    <col min="14080" max="14081" width="7.33203125" bestFit="1" customWidth="1"/>
    <col min="14082" max="14084" width="8" bestFit="1" customWidth="1"/>
    <col min="14085" max="14085" width="3" customWidth="1"/>
    <col min="14086" max="14086" width="7.33203125" bestFit="1" customWidth="1"/>
    <col min="14087" max="14090" width="8" bestFit="1" customWidth="1"/>
    <col min="14091" max="14092" width="12" bestFit="1" customWidth="1"/>
    <col min="14093" max="14093" width="11.44140625" bestFit="1" customWidth="1"/>
    <col min="14094" max="14094" width="12" bestFit="1" customWidth="1"/>
    <col min="14095" max="14100" width="11.44140625" bestFit="1" customWidth="1"/>
    <col min="14274" max="14274" width="2.109375" bestFit="1" customWidth="1"/>
    <col min="14275" max="14275" width="28.88671875" bestFit="1" customWidth="1"/>
    <col min="14276" max="14314" width="7" customWidth="1"/>
    <col min="14315" max="14316" width="7.5546875" customWidth="1"/>
    <col min="14317" max="14335" width="8" customWidth="1"/>
    <col min="14336" max="14337" width="7.33203125" bestFit="1" customWidth="1"/>
    <col min="14338" max="14340" width="8" bestFit="1" customWidth="1"/>
    <col min="14341" max="14341" width="3" customWidth="1"/>
    <col min="14342" max="14342" width="7.33203125" bestFit="1" customWidth="1"/>
    <col min="14343" max="14346" width="8" bestFit="1" customWidth="1"/>
    <col min="14347" max="14348" width="12" bestFit="1" customWidth="1"/>
    <col min="14349" max="14349" width="11.44140625" bestFit="1" customWidth="1"/>
    <col min="14350" max="14350" width="12" bestFit="1" customWidth="1"/>
    <col min="14351" max="14356" width="11.44140625" bestFit="1" customWidth="1"/>
    <col min="14530" max="14530" width="2.109375" bestFit="1" customWidth="1"/>
    <col min="14531" max="14531" width="28.88671875" bestFit="1" customWidth="1"/>
    <col min="14532" max="14570" width="7" customWidth="1"/>
    <col min="14571" max="14572" width="7.5546875" customWidth="1"/>
    <col min="14573" max="14591" width="8" customWidth="1"/>
    <col min="14592" max="14593" width="7.33203125" bestFit="1" customWidth="1"/>
    <col min="14594" max="14596" width="8" bestFit="1" customWidth="1"/>
    <col min="14597" max="14597" width="3" customWidth="1"/>
    <col min="14598" max="14598" width="7.33203125" bestFit="1" customWidth="1"/>
    <col min="14599" max="14602" width="8" bestFit="1" customWidth="1"/>
    <col min="14603" max="14604" width="12" bestFit="1" customWidth="1"/>
    <col min="14605" max="14605" width="11.44140625" bestFit="1" customWidth="1"/>
    <col min="14606" max="14606" width="12" bestFit="1" customWidth="1"/>
    <col min="14607" max="14612" width="11.44140625" bestFit="1" customWidth="1"/>
    <col min="14786" max="14786" width="2.109375" bestFit="1" customWidth="1"/>
    <col min="14787" max="14787" width="28.88671875" bestFit="1" customWidth="1"/>
    <col min="14788" max="14826" width="7" customWidth="1"/>
    <col min="14827" max="14828" width="7.5546875" customWidth="1"/>
    <col min="14829" max="14847" width="8" customWidth="1"/>
    <col min="14848" max="14849" width="7.33203125" bestFit="1" customWidth="1"/>
    <col min="14850" max="14852" width="8" bestFit="1" customWidth="1"/>
    <col min="14853" max="14853" width="3" customWidth="1"/>
    <col min="14854" max="14854" width="7.33203125" bestFit="1" customWidth="1"/>
    <col min="14855" max="14858" width="8" bestFit="1" customWidth="1"/>
    <col min="14859" max="14860" width="12" bestFit="1" customWidth="1"/>
    <col min="14861" max="14861" width="11.44140625" bestFit="1" customWidth="1"/>
    <col min="14862" max="14862" width="12" bestFit="1" customWidth="1"/>
    <col min="14863" max="14868" width="11.44140625" bestFit="1" customWidth="1"/>
    <col min="15042" max="15042" width="2.109375" bestFit="1" customWidth="1"/>
    <col min="15043" max="15043" width="28.88671875" bestFit="1" customWidth="1"/>
    <col min="15044" max="15082" width="7" customWidth="1"/>
    <col min="15083" max="15084" width="7.5546875" customWidth="1"/>
    <col min="15085" max="15103" width="8" customWidth="1"/>
    <col min="15104" max="15105" width="7.33203125" bestFit="1" customWidth="1"/>
    <col min="15106" max="15108" width="8" bestFit="1" customWidth="1"/>
    <col min="15109" max="15109" width="3" customWidth="1"/>
    <col min="15110" max="15110" width="7.33203125" bestFit="1" customWidth="1"/>
    <col min="15111" max="15114" width="8" bestFit="1" customWidth="1"/>
    <col min="15115" max="15116" width="12" bestFit="1" customWidth="1"/>
    <col min="15117" max="15117" width="11.44140625" bestFit="1" customWidth="1"/>
    <col min="15118" max="15118" width="12" bestFit="1" customWidth="1"/>
    <col min="15119" max="15124" width="11.44140625" bestFit="1" customWidth="1"/>
    <col min="15298" max="15298" width="2.109375" bestFit="1" customWidth="1"/>
    <col min="15299" max="15299" width="28.88671875" bestFit="1" customWidth="1"/>
    <col min="15300" max="15338" width="7" customWidth="1"/>
    <col min="15339" max="15340" width="7.5546875" customWidth="1"/>
    <col min="15341" max="15359" width="8" customWidth="1"/>
    <col min="15360" max="15361" width="7.33203125" bestFit="1" customWidth="1"/>
    <col min="15362" max="15364" width="8" bestFit="1" customWidth="1"/>
    <col min="15365" max="15365" width="3" customWidth="1"/>
    <col min="15366" max="15366" width="7.33203125" bestFit="1" customWidth="1"/>
    <col min="15367" max="15370" width="8" bestFit="1" customWidth="1"/>
    <col min="15371" max="15372" width="12" bestFit="1" customWidth="1"/>
    <col min="15373" max="15373" width="11.44140625" bestFit="1" customWidth="1"/>
    <col min="15374" max="15374" width="12" bestFit="1" customWidth="1"/>
    <col min="15375" max="15380" width="11.44140625" bestFit="1" customWidth="1"/>
    <col min="15554" max="15554" width="2.109375" bestFit="1" customWidth="1"/>
    <col min="15555" max="15555" width="28.88671875" bestFit="1" customWidth="1"/>
    <col min="15556" max="15594" width="7" customWidth="1"/>
    <col min="15595" max="15596" width="7.5546875" customWidth="1"/>
    <col min="15597" max="15615" width="8" customWidth="1"/>
    <col min="15616" max="15617" width="7.33203125" bestFit="1" customWidth="1"/>
    <col min="15618" max="15620" width="8" bestFit="1" customWidth="1"/>
    <col min="15621" max="15621" width="3" customWidth="1"/>
    <col min="15622" max="15622" width="7.33203125" bestFit="1" customWidth="1"/>
    <col min="15623" max="15626" width="8" bestFit="1" customWidth="1"/>
    <col min="15627" max="15628" width="12" bestFit="1" customWidth="1"/>
    <col min="15629" max="15629" width="11.44140625" bestFit="1" customWidth="1"/>
    <col min="15630" max="15630" width="12" bestFit="1" customWidth="1"/>
    <col min="15631" max="15636" width="11.44140625" bestFit="1" customWidth="1"/>
    <col min="15810" max="15810" width="2.109375" bestFit="1" customWidth="1"/>
    <col min="15811" max="15811" width="28.88671875" bestFit="1" customWidth="1"/>
    <col min="15812" max="15850" width="7" customWidth="1"/>
    <col min="15851" max="15852" width="7.5546875" customWidth="1"/>
    <col min="15853" max="15871" width="8" customWidth="1"/>
    <col min="15872" max="15873" width="7.33203125" bestFit="1" customWidth="1"/>
    <col min="15874" max="15876" width="8" bestFit="1" customWidth="1"/>
    <col min="15877" max="15877" width="3" customWidth="1"/>
    <col min="15878" max="15878" width="7.33203125" bestFit="1" customWidth="1"/>
    <col min="15879" max="15882" width="8" bestFit="1" customWidth="1"/>
    <col min="15883" max="15884" width="12" bestFit="1" customWidth="1"/>
    <col min="15885" max="15885" width="11.44140625" bestFit="1" customWidth="1"/>
    <col min="15886" max="15886" width="12" bestFit="1" customWidth="1"/>
    <col min="15887" max="15892" width="11.44140625" bestFit="1" customWidth="1"/>
    <col min="16066" max="16066" width="2.109375" bestFit="1" customWidth="1"/>
    <col min="16067" max="16067" width="28.88671875" bestFit="1" customWidth="1"/>
    <col min="16068" max="16106" width="7" customWidth="1"/>
    <col min="16107" max="16108" width="7.5546875" customWidth="1"/>
    <col min="16109" max="16127" width="8" customWidth="1"/>
    <col min="16128" max="16129" width="7.33203125" bestFit="1" customWidth="1"/>
    <col min="16130" max="16132" width="8" bestFit="1" customWidth="1"/>
    <col min="16133" max="16133" width="3" customWidth="1"/>
    <col min="16134" max="16134" width="7.33203125" bestFit="1" customWidth="1"/>
    <col min="16135" max="16138" width="8" bestFit="1" customWidth="1"/>
    <col min="16139" max="16140" width="12" bestFit="1" customWidth="1"/>
    <col min="16141" max="16141" width="11.44140625" bestFit="1" customWidth="1"/>
    <col min="16142" max="16142" width="12" bestFit="1" customWidth="1"/>
    <col min="16143" max="16148" width="11.44140625" bestFit="1" customWidth="1"/>
  </cols>
  <sheetData>
    <row r="1" spans="1:14" x14ac:dyDescent="0.3">
      <c r="B1" s="90" t="s">
        <v>153</v>
      </c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x14ac:dyDescent="0.3">
      <c r="B2" s="90" t="s">
        <v>154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</row>
    <row r="3" spans="1:14" x14ac:dyDescent="0.3">
      <c r="B3" s="90" t="s">
        <v>155</v>
      </c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</row>
    <row r="4" spans="1:14" x14ac:dyDescent="0.3">
      <c r="B4" s="90"/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</row>
    <row r="5" spans="1:14" x14ac:dyDescent="0.3">
      <c r="B5" s="92" t="s">
        <v>156</v>
      </c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</row>
    <row r="6" spans="1:14" x14ac:dyDescent="0.3">
      <c r="A6" s="90" t="s">
        <v>157</v>
      </c>
      <c r="B6" s="90" t="s">
        <v>158</v>
      </c>
      <c r="C6" s="90"/>
      <c r="D6" s="90"/>
      <c r="E6" s="90"/>
      <c r="F6" s="90"/>
      <c r="G6" s="90"/>
      <c r="H6" s="90"/>
      <c r="I6" s="90"/>
      <c r="J6" s="90"/>
      <c r="K6" s="90"/>
      <c r="L6" s="90"/>
      <c r="M6" s="90"/>
      <c r="N6" s="90"/>
    </row>
    <row r="7" spans="1:14" x14ac:dyDescent="0.3">
      <c r="B7" s="90"/>
      <c r="C7" s="91">
        <v>43466</v>
      </c>
      <c r="D7" s="91">
        <v>43497</v>
      </c>
      <c r="E7" s="91">
        <v>43525</v>
      </c>
      <c r="F7" s="91">
        <v>43556</v>
      </c>
      <c r="G7" s="91">
        <v>43586</v>
      </c>
      <c r="H7" s="91">
        <v>43617</v>
      </c>
      <c r="I7" s="91">
        <v>43647</v>
      </c>
      <c r="J7" s="91">
        <v>43678</v>
      </c>
      <c r="K7" s="91">
        <v>43709</v>
      </c>
      <c r="L7" s="91">
        <v>43739</v>
      </c>
      <c r="M7" s="91">
        <v>43770</v>
      </c>
      <c r="N7" s="91">
        <v>43800</v>
      </c>
    </row>
    <row r="8" spans="1:14" x14ac:dyDescent="0.3">
      <c r="B8" s="90"/>
      <c r="C8" s="90"/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</row>
    <row r="9" spans="1:14" x14ac:dyDescent="0.3">
      <c r="B9" t="s">
        <v>159</v>
      </c>
      <c r="C9">
        <v>17</v>
      </c>
      <c r="D9">
        <v>18</v>
      </c>
      <c r="E9">
        <v>19</v>
      </c>
      <c r="F9">
        <v>33</v>
      </c>
      <c r="G9">
        <v>39</v>
      </c>
      <c r="H9">
        <v>41</v>
      </c>
      <c r="I9">
        <v>49</v>
      </c>
      <c r="J9">
        <v>54</v>
      </c>
      <c r="K9">
        <v>46</v>
      </c>
      <c r="L9">
        <v>49</v>
      </c>
      <c r="M9">
        <v>51</v>
      </c>
      <c r="N9">
        <v>57</v>
      </c>
    </row>
    <row r="10" spans="1:14" x14ac:dyDescent="0.3">
      <c r="B10" t="s">
        <v>160</v>
      </c>
      <c r="C10">
        <v>24</v>
      </c>
      <c r="D10">
        <v>26</v>
      </c>
      <c r="E10">
        <v>26</v>
      </c>
      <c r="F10">
        <v>28</v>
      </c>
      <c r="G10">
        <v>37</v>
      </c>
      <c r="H10">
        <v>45</v>
      </c>
      <c r="I10">
        <v>44</v>
      </c>
      <c r="J10">
        <v>39</v>
      </c>
      <c r="K10">
        <v>44</v>
      </c>
      <c r="L10">
        <v>51</v>
      </c>
      <c r="M10">
        <v>59</v>
      </c>
      <c r="N10">
        <v>61</v>
      </c>
    </row>
    <row r="11" spans="1:14" x14ac:dyDescent="0.3">
      <c r="B11" t="s">
        <v>161</v>
      </c>
      <c r="C11">
        <v>49</v>
      </c>
      <c r="D11">
        <v>52</v>
      </c>
      <c r="E11">
        <v>53</v>
      </c>
      <c r="F11">
        <v>50</v>
      </c>
      <c r="G11">
        <v>52</v>
      </c>
      <c r="H11">
        <v>54</v>
      </c>
      <c r="I11">
        <v>56</v>
      </c>
      <c r="J11">
        <v>63</v>
      </c>
      <c r="K11">
        <v>76</v>
      </c>
      <c r="L11">
        <v>80</v>
      </c>
      <c r="M11">
        <v>84</v>
      </c>
      <c r="N11">
        <v>92</v>
      </c>
    </row>
    <row r="12" spans="1:14" x14ac:dyDescent="0.3">
      <c r="B12" t="s">
        <v>162</v>
      </c>
      <c r="C12">
        <v>4</v>
      </c>
      <c r="D12">
        <v>5</v>
      </c>
      <c r="E12">
        <v>4</v>
      </c>
      <c r="F12">
        <v>6</v>
      </c>
      <c r="G12">
        <v>6</v>
      </c>
      <c r="H12">
        <v>8</v>
      </c>
      <c r="I12">
        <v>12</v>
      </c>
      <c r="J12">
        <v>12</v>
      </c>
      <c r="K12">
        <v>8</v>
      </c>
      <c r="L12">
        <v>9</v>
      </c>
      <c r="M12">
        <v>8</v>
      </c>
      <c r="N12">
        <v>10</v>
      </c>
    </row>
    <row r="13" spans="1:14" x14ac:dyDescent="0.3">
      <c r="B13" t="s">
        <v>163</v>
      </c>
      <c r="C13">
        <v>5.5</v>
      </c>
      <c r="D13">
        <v>5.5</v>
      </c>
      <c r="E13">
        <v>6.5</v>
      </c>
      <c r="F13">
        <v>5.5</v>
      </c>
      <c r="G13">
        <v>6.5</v>
      </c>
      <c r="H13">
        <v>5.5</v>
      </c>
      <c r="I13">
        <v>6.5</v>
      </c>
      <c r="J13">
        <v>5.5</v>
      </c>
      <c r="K13">
        <v>5.5</v>
      </c>
      <c r="L13">
        <v>8.5</v>
      </c>
      <c r="M13">
        <v>8.5</v>
      </c>
      <c r="N13">
        <v>10.5</v>
      </c>
    </row>
    <row r="14" spans="1:14" x14ac:dyDescent="0.3">
      <c r="B14" t="s">
        <v>164</v>
      </c>
      <c r="C14">
        <v>13</v>
      </c>
      <c r="D14">
        <v>11</v>
      </c>
      <c r="E14">
        <v>13</v>
      </c>
      <c r="F14">
        <v>15</v>
      </c>
      <c r="G14">
        <v>15</v>
      </c>
      <c r="H14">
        <v>16</v>
      </c>
      <c r="I14">
        <v>18</v>
      </c>
      <c r="J14">
        <v>23</v>
      </c>
      <c r="K14">
        <v>24</v>
      </c>
      <c r="L14">
        <v>26</v>
      </c>
      <c r="M14">
        <v>29</v>
      </c>
      <c r="N14">
        <v>31</v>
      </c>
    </row>
    <row r="15" spans="1:14" x14ac:dyDescent="0.3">
      <c r="B15" t="s">
        <v>165</v>
      </c>
      <c r="C15">
        <v>43</v>
      </c>
      <c r="D15">
        <v>46</v>
      </c>
      <c r="E15">
        <v>63</v>
      </c>
      <c r="F15">
        <v>75</v>
      </c>
      <c r="G15">
        <v>88</v>
      </c>
      <c r="H15">
        <v>70</v>
      </c>
      <c r="I15">
        <v>72</v>
      </c>
      <c r="J15">
        <v>72</v>
      </c>
      <c r="K15">
        <v>91</v>
      </c>
      <c r="L15">
        <v>104</v>
      </c>
      <c r="M15">
        <v>114</v>
      </c>
      <c r="N15">
        <v>121</v>
      </c>
    </row>
    <row r="16" spans="1:14" x14ac:dyDescent="0.3">
      <c r="B16" t="s">
        <v>166</v>
      </c>
      <c r="C16">
        <v>4</v>
      </c>
      <c r="D16">
        <v>0</v>
      </c>
      <c r="E16">
        <v>2</v>
      </c>
      <c r="F16">
        <v>1</v>
      </c>
      <c r="G16">
        <v>5</v>
      </c>
      <c r="H16">
        <v>7</v>
      </c>
      <c r="I16">
        <v>8</v>
      </c>
      <c r="J16">
        <v>6</v>
      </c>
      <c r="K16">
        <v>8</v>
      </c>
      <c r="L16">
        <v>8</v>
      </c>
      <c r="M16">
        <v>7</v>
      </c>
      <c r="N16">
        <v>7</v>
      </c>
    </row>
    <row r="17" spans="1:14" ht="15" thickBot="1" x14ac:dyDescent="0.35">
      <c r="B17" s="93" t="s">
        <v>167</v>
      </c>
      <c r="C17" s="93">
        <v>159.5</v>
      </c>
      <c r="D17" s="93">
        <v>163.5</v>
      </c>
      <c r="E17" s="93">
        <v>186.5</v>
      </c>
      <c r="F17" s="93">
        <v>213.5</v>
      </c>
      <c r="G17" s="93">
        <v>248.5</v>
      </c>
      <c r="H17" s="93">
        <v>246.5</v>
      </c>
      <c r="I17" s="93">
        <v>265.5</v>
      </c>
      <c r="J17" s="93">
        <v>274.5</v>
      </c>
      <c r="K17" s="93">
        <v>302.5</v>
      </c>
      <c r="L17" s="93">
        <v>335.5</v>
      </c>
      <c r="M17" s="93">
        <v>360.5</v>
      </c>
      <c r="N17" s="93">
        <v>389.5</v>
      </c>
    </row>
    <row r="18" spans="1:14" ht="15" thickTop="1" x14ac:dyDescent="0.3"/>
    <row r="19" spans="1:14" x14ac:dyDescent="0.3">
      <c r="A19" s="90" t="s">
        <v>168</v>
      </c>
      <c r="B19" s="90" t="s">
        <v>169</v>
      </c>
    </row>
    <row r="20" spans="1:14" x14ac:dyDescent="0.3">
      <c r="B20" s="90"/>
      <c r="C20" s="91">
        <v>43466</v>
      </c>
      <c r="D20" s="91">
        <v>43497</v>
      </c>
      <c r="E20" s="91">
        <v>43525</v>
      </c>
      <c r="F20" s="91">
        <v>43556</v>
      </c>
      <c r="G20" s="91">
        <v>43586</v>
      </c>
      <c r="H20" s="91">
        <v>43617</v>
      </c>
      <c r="I20" s="91">
        <v>43647</v>
      </c>
      <c r="J20" s="91">
        <v>43678</v>
      </c>
      <c r="K20" s="91">
        <v>43709</v>
      </c>
      <c r="L20" s="91">
        <v>43739</v>
      </c>
      <c r="M20" s="91">
        <v>43770</v>
      </c>
      <c r="N20" s="91">
        <v>43800</v>
      </c>
    </row>
    <row r="21" spans="1:14" x14ac:dyDescent="0.3">
      <c r="B21" s="90"/>
      <c r="C21" s="90" t="s">
        <v>170</v>
      </c>
      <c r="D21" s="90" t="s">
        <v>170</v>
      </c>
      <c r="E21" s="90" t="s">
        <v>170</v>
      </c>
      <c r="F21" s="90" t="s">
        <v>170</v>
      </c>
      <c r="G21" s="90" t="s">
        <v>170</v>
      </c>
      <c r="H21" s="90" t="s">
        <v>170</v>
      </c>
      <c r="I21" s="90" t="s">
        <v>170</v>
      </c>
      <c r="J21" s="90" t="s">
        <v>170</v>
      </c>
      <c r="K21" s="90" t="s">
        <v>170</v>
      </c>
      <c r="L21" s="90" t="s">
        <v>170</v>
      </c>
      <c r="M21" s="90" t="s">
        <v>170</v>
      </c>
      <c r="N21" s="90" t="s">
        <v>170</v>
      </c>
    </row>
    <row r="22" spans="1:14" x14ac:dyDescent="0.3">
      <c r="B22" t="s">
        <v>159</v>
      </c>
      <c r="C22">
        <v>170</v>
      </c>
      <c r="D22">
        <v>180</v>
      </c>
      <c r="E22">
        <v>190</v>
      </c>
      <c r="F22">
        <v>330</v>
      </c>
      <c r="G22">
        <v>390</v>
      </c>
      <c r="H22">
        <v>410</v>
      </c>
      <c r="I22">
        <v>490</v>
      </c>
      <c r="J22">
        <v>540</v>
      </c>
      <c r="K22">
        <v>460</v>
      </c>
      <c r="L22">
        <v>490</v>
      </c>
      <c r="M22">
        <v>510</v>
      </c>
      <c r="N22">
        <v>570</v>
      </c>
    </row>
    <row r="23" spans="1:14" x14ac:dyDescent="0.3">
      <c r="B23" t="s">
        <v>160</v>
      </c>
      <c r="C23">
        <v>600</v>
      </c>
      <c r="D23">
        <v>650</v>
      </c>
      <c r="E23">
        <v>650</v>
      </c>
      <c r="F23">
        <v>700</v>
      </c>
      <c r="G23">
        <v>925</v>
      </c>
      <c r="H23">
        <v>1125</v>
      </c>
      <c r="I23">
        <v>1100</v>
      </c>
      <c r="J23">
        <v>975</v>
      </c>
      <c r="K23">
        <v>1100</v>
      </c>
      <c r="L23">
        <v>1275</v>
      </c>
      <c r="M23">
        <v>1475</v>
      </c>
      <c r="N23">
        <v>1525</v>
      </c>
    </row>
    <row r="24" spans="1:14" x14ac:dyDescent="0.3">
      <c r="B24" t="s">
        <v>161</v>
      </c>
      <c r="C24">
        <v>1960</v>
      </c>
      <c r="D24">
        <v>2080</v>
      </c>
      <c r="E24">
        <v>2120</v>
      </c>
      <c r="F24">
        <v>2000</v>
      </c>
      <c r="G24">
        <v>2080</v>
      </c>
      <c r="H24">
        <v>2160</v>
      </c>
      <c r="I24">
        <v>2240</v>
      </c>
      <c r="J24">
        <v>2520</v>
      </c>
      <c r="K24">
        <v>3040</v>
      </c>
      <c r="L24">
        <v>3840</v>
      </c>
      <c r="M24">
        <v>4032</v>
      </c>
      <c r="N24">
        <v>4416</v>
      </c>
    </row>
    <row r="25" spans="1:14" x14ac:dyDescent="0.3">
      <c r="B25" t="s">
        <v>162</v>
      </c>
      <c r="C25">
        <v>14.4</v>
      </c>
      <c r="D25">
        <v>18</v>
      </c>
      <c r="E25">
        <v>14.4</v>
      </c>
      <c r="F25">
        <v>21.6</v>
      </c>
      <c r="G25">
        <v>21.6</v>
      </c>
      <c r="H25">
        <v>28.8</v>
      </c>
      <c r="I25">
        <v>43.2</v>
      </c>
      <c r="J25">
        <v>43.2</v>
      </c>
      <c r="K25">
        <v>28.8</v>
      </c>
      <c r="L25">
        <v>32.4</v>
      </c>
      <c r="M25">
        <v>28.8</v>
      </c>
      <c r="N25">
        <v>36</v>
      </c>
    </row>
    <row r="26" spans="1:14" x14ac:dyDescent="0.3">
      <c r="B26" t="s">
        <v>163</v>
      </c>
      <c r="C26">
        <v>42.9</v>
      </c>
      <c r="D26">
        <v>42.9</v>
      </c>
      <c r="E26">
        <v>50.7</v>
      </c>
      <c r="F26">
        <v>42.9</v>
      </c>
      <c r="G26">
        <v>50.7</v>
      </c>
      <c r="H26">
        <v>42.9</v>
      </c>
      <c r="I26">
        <v>50.7</v>
      </c>
      <c r="J26">
        <v>42.9</v>
      </c>
      <c r="K26">
        <v>42.9</v>
      </c>
      <c r="L26">
        <v>66.3</v>
      </c>
      <c r="M26">
        <v>66.3</v>
      </c>
      <c r="N26">
        <v>81.900000000000006</v>
      </c>
    </row>
    <row r="27" spans="1:14" x14ac:dyDescent="0.3">
      <c r="B27" t="s">
        <v>164</v>
      </c>
      <c r="C27">
        <v>162.5</v>
      </c>
      <c r="D27">
        <v>137.5</v>
      </c>
      <c r="E27">
        <v>162.5</v>
      </c>
      <c r="F27">
        <v>187.5</v>
      </c>
      <c r="G27">
        <v>187.5</v>
      </c>
      <c r="H27">
        <v>200</v>
      </c>
      <c r="I27">
        <v>225</v>
      </c>
      <c r="J27">
        <v>287.5</v>
      </c>
      <c r="K27">
        <v>300</v>
      </c>
      <c r="L27">
        <v>325</v>
      </c>
      <c r="M27">
        <v>362.5</v>
      </c>
      <c r="N27">
        <v>387.5</v>
      </c>
    </row>
    <row r="28" spans="1:14" x14ac:dyDescent="0.3">
      <c r="B28" t="s">
        <v>165</v>
      </c>
      <c r="C28">
        <v>1075</v>
      </c>
      <c r="D28">
        <v>1150</v>
      </c>
      <c r="E28">
        <v>1575</v>
      </c>
      <c r="F28">
        <v>1875</v>
      </c>
      <c r="G28">
        <v>2200</v>
      </c>
      <c r="H28">
        <v>1750</v>
      </c>
      <c r="I28">
        <v>1800</v>
      </c>
      <c r="J28">
        <v>1800</v>
      </c>
      <c r="K28">
        <v>2275</v>
      </c>
      <c r="L28">
        <v>2600</v>
      </c>
      <c r="M28">
        <v>2850</v>
      </c>
      <c r="N28">
        <v>3025</v>
      </c>
    </row>
    <row r="29" spans="1:14" x14ac:dyDescent="0.3">
      <c r="B29" t="s">
        <v>166</v>
      </c>
      <c r="C29">
        <v>60</v>
      </c>
      <c r="D29">
        <v>0</v>
      </c>
      <c r="E29">
        <v>30</v>
      </c>
      <c r="F29">
        <v>15</v>
      </c>
      <c r="G29">
        <v>75</v>
      </c>
      <c r="H29">
        <v>105</v>
      </c>
      <c r="I29">
        <v>120</v>
      </c>
      <c r="J29">
        <v>90</v>
      </c>
      <c r="K29">
        <v>120</v>
      </c>
      <c r="L29">
        <v>120</v>
      </c>
      <c r="M29">
        <v>105</v>
      </c>
      <c r="N29">
        <v>105</v>
      </c>
    </row>
    <row r="30" spans="1:14" ht="15" thickBot="1" x14ac:dyDescent="0.35">
      <c r="B30" s="93" t="s">
        <v>167</v>
      </c>
      <c r="C30" s="94">
        <v>4084.8</v>
      </c>
      <c r="D30" s="94">
        <v>4258.3999999999996</v>
      </c>
      <c r="E30" s="94">
        <v>4792.6000000000004</v>
      </c>
      <c r="F30" s="94">
        <v>5172</v>
      </c>
      <c r="G30" s="94">
        <v>5929.7999999999993</v>
      </c>
      <c r="H30" s="94">
        <v>5821.7000000000007</v>
      </c>
      <c r="I30" s="94">
        <v>6068.9</v>
      </c>
      <c r="J30" s="94">
        <v>6298.5999999999995</v>
      </c>
      <c r="K30" s="94">
        <v>7366.7</v>
      </c>
      <c r="L30" s="94">
        <v>8748.7000000000007</v>
      </c>
      <c r="M30" s="94">
        <v>9429.6</v>
      </c>
      <c r="N30" s="94">
        <v>10146.4</v>
      </c>
    </row>
    <row r="31" spans="1:14" ht="15" thickTop="1" x14ac:dyDescent="0.3"/>
    <row r="32" spans="1:14" x14ac:dyDescent="0.3">
      <c r="A32" s="90" t="s">
        <v>171</v>
      </c>
      <c r="B32" s="90" t="s">
        <v>172</v>
      </c>
    </row>
    <row r="33" spans="1:14" x14ac:dyDescent="0.3">
      <c r="C33" s="91">
        <v>43466</v>
      </c>
      <c r="D33" s="91">
        <v>43497</v>
      </c>
      <c r="E33" s="91">
        <v>43525</v>
      </c>
      <c r="F33" s="91">
        <v>43556</v>
      </c>
      <c r="G33" s="91">
        <v>43586</v>
      </c>
      <c r="H33" s="91">
        <v>43617</v>
      </c>
      <c r="I33" s="91">
        <v>43647</v>
      </c>
      <c r="J33" s="91">
        <v>43678</v>
      </c>
      <c r="K33" s="91">
        <v>43709</v>
      </c>
      <c r="L33" s="91">
        <v>43739</v>
      </c>
      <c r="M33" s="91">
        <v>43770</v>
      </c>
      <c r="N33" s="91">
        <v>43800</v>
      </c>
    </row>
    <row r="35" spans="1:14" x14ac:dyDescent="0.3">
      <c r="B35" t="s">
        <v>159</v>
      </c>
      <c r="C35">
        <v>203</v>
      </c>
      <c r="D35">
        <v>217</v>
      </c>
      <c r="E35">
        <v>231</v>
      </c>
      <c r="F35">
        <v>246</v>
      </c>
      <c r="G35">
        <v>262</v>
      </c>
      <c r="H35">
        <v>279</v>
      </c>
      <c r="I35">
        <v>298</v>
      </c>
      <c r="J35">
        <v>318</v>
      </c>
      <c r="K35">
        <v>339</v>
      </c>
      <c r="L35">
        <v>361</v>
      </c>
      <c r="M35">
        <v>385</v>
      </c>
      <c r="N35">
        <v>411</v>
      </c>
    </row>
    <row r="36" spans="1:14" x14ac:dyDescent="0.3">
      <c r="B36" t="s">
        <v>160</v>
      </c>
      <c r="C36">
        <v>239</v>
      </c>
      <c r="D36">
        <v>257</v>
      </c>
      <c r="E36">
        <v>275</v>
      </c>
      <c r="F36">
        <v>295</v>
      </c>
      <c r="G36">
        <v>315</v>
      </c>
      <c r="H36">
        <v>338</v>
      </c>
      <c r="I36">
        <v>362</v>
      </c>
      <c r="J36">
        <v>388</v>
      </c>
      <c r="K36">
        <v>415</v>
      </c>
      <c r="L36">
        <v>445</v>
      </c>
      <c r="M36">
        <v>478</v>
      </c>
      <c r="N36">
        <v>512</v>
      </c>
    </row>
    <row r="37" spans="1:14" x14ac:dyDescent="0.3">
      <c r="B37" t="s">
        <v>161</v>
      </c>
      <c r="C37">
        <v>498</v>
      </c>
      <c r="D37">
        <v>526</v>
      </c>
      <c r="E37">
        <v>555</v>
      </c>
      <c r="F37">
        <v>585</v>
      </c>
      <c r="G37">
        <v>617</v>
      </c>
      <c r="H37">
        <v>651</v>
      </c>
      <c r="I37">
        <v>687</v>
      </c>
      <c r="J37">
        <v>730</v>
      </c>
      <c r="K37">
        <v>786</v>
      </c>
      <c r="L37">
        <v>846</v>
      </c>
      <c r="M37">
        <v>910</v>
      </c>
      <c r="N37">
        <v>980</v>
      </c>
    </row>
    <row r="38" spans="1:14" x14ac:dyDescent="0.3">
      <c r="B38" t="s">
        <v>162</v>
      </c>
      <c r="C38">
        <v>50</v>
      </c>
      <c r="D38">
        <v>53</v>
      </c>
      <c r="E38">
        <v>55</v>
      </c>
      <c r="F38">
        <v>58</v>
      </c>
      <c r="G38">
        <v>60</v>
      </c>
      <c r="H38">
        <v>62</v>
      </c>
      <c r="I38">
        <v>66</v>
      </c>
      <c r="J38">
        <v>69</v>
      </c>
      <c r="K38">
        <v>72</v>
      </c>
      <c r="L38">
        <v>75</v>
      </c>
      <c r="M38">
        <v>78</v>
      </c>
      <c r="N38">
        <v>82</v>
      </c>
    </row>
    <row r="39" spans="1:14" x14ac:dyDescent="0.3">
      <c r="B39" t="s">
        <v>163</v>
      </c>
      <c r="C39">
        <v>44.5</v>
      </c>
      <c r="D39">
        <v>48</v>
      </c>
      <c r="E39">
        <v>52.5</v>
      </c>
      <c r="F39">
        <v>56</v>
      </c>
      <c r="G39">
        <v>60.5</v>
      </c>
      <c r="H39">
        <v>64</v>
      </c>
      <c r="I39">
        <v>68.5</v>
      </c>
      <c r="J39">
        <v>73</v>
      </c>
      <c r="K39">
        <v>77.5</v>
      </c>
      <c r="L39">
        <v>82</v>
      </c>
      <c r="M39">
        <v>86.5</v>
      </c>
      <c r="N39">
        <v>91</v>
      </c>
    </row>
    <row r="40" spans="1:14" x14ac:dyDescent="0.3">
      <c r="B40" t="s">
        <v>164</v>
      </c>
      <c r="C40">
        <v>117</v>
      </c>
      <c r="D40">
        <v>124</v>
      </c>
      <c r="E40">
        <v>132</v>
      </c>
      <c r="F40">
        <v>141</v>
      </c>
      <c r="G40">
        <v>150</v>
      </c>
      <c r="H40">
        <v>160</v>
      </c>
      <c r="I40">
        <v>170</v>
      </c>
      <c r="J40">
        <v>183</v>
      </c>
      <c r="K40">
        <v>196</v>
      </c>
      <c r="L40">
        <v>211</v>
      </c>
      <c r="M40">
        <v>228</v>
      </c>
      <c r="N40">
        <v>246</v>
      </c>
    </row>
    <row r="41" spans="1:14" x14ac:dyDescent="0.3">
      <c r="B41" t="s">
        <v>165</v>
      </c>
      <c r="C41">
        <v>650</v>
      </c>
      <c r="D41">
        <v>680</v>
      </c>
      <c r="E41">
        <v>710</v>
      </c>
      <c r="F41">
        <v>741</v>
      </c>
      <c r="G41">
        <v>775</v>
      </c>
      <c r="H41">
        <v>810</v>
      </c>
      <c r="I41">
        <v>846</v>
      </c>
      <c r="J41">
        <v>884</v>
      </c>
      <c r="K41">
        <v>924</v>
      </c>
      <c r="L41">
        <v>966</v>
      </c>
      <c r="M41">
        <v>1009</v>
      </c>
      <c r="N41">
        <v>1055</v>
      </c>
    </row>
    <row r="42" spans="1:14" x14ac:dyDescent="0.3">
      <c r="B42" t="s">
        <v>166</v>
      </c>
      <c r="C42">
        <v>50</v>
      </c>
      <c r="D42">
        <v>50</v>
      </c>
      <c r="E42">
        <v>52</v>
      </c>
      <c r="F42">
        <v>53</v>
      </c>
      <c r="G42">
        <v>54</v>
      </c>
      <c r="H42">
        <v>55</v>
      </c>
      <c r="I42">
        <v>57</v>
      </c>
      <c r="J42">
        <v>57</v>
      </c>
      <c r="K42">
        <v>59</v>
      </c>
      <c r="L42">
        <v>61</v>
      </c>
      <c r="M42">
        <v>62</v>
      </c>
      <c r="N42">
        <v>63</v>
      </c>
    </row>
    <row r="43" spans="1:14" ht="15" thickBot="1" x14ac:dyDescent="0.35">
      <c r="B43" s="93" t="s">
        <v>173</v>
      </c>
      <c r="C43" s="93">
        <v>1851.5</v>
      </c>
      <c r="D43" s="93">
        <v>1955</v>
      </c>
      <c r="E43" s="93">
        <v>2062.5</v>
      </c>
      <c r="F43" s="93">
        <v>2175</v>
      </c>
      <c r="G43" s="93">
        <v>2293.5</v>
      </c>
      <c r="H43" s="93">
        <v>2419</v>
      </c>
      <c r="I43" s="93">
        <v>2554.5</v>
      </c>
      <c r="J43" s="93">
        <v>2702</v>
      </c>
      <c r="K43" s="93">
        <v>2868.5</v>
      </c>
      <c r="L43" s="93">
        <v>3047</v>
      </c>
      <c r="M43" s="93">
        <v>3236.5</v>
      </c>
      <c r="N43" s="93">
        <v>3440</v>
      </c>
    </row>
    <row r="44" spans="1:14" ht="15" thickTop="1" x14ac:dyDescent="0.3"/>
    <row r="45" spans="1:14" x14ac:dyDescent="0.3">
      <c r="A45" s="90" t="s">
        <v>174</v>
      </c>
      <c r="B45" s="90" t="s">
        <v>175</v>
      </c>
    </row>
    <row r="46" spans="1:14" x14ac:dyDescent="0.3">
      <c r="C46" s="91">
        <v>43466</v>
      </c>
      <c r="D46" s="91">
        <v>43497</v>
      </c>
      <c r="E46" s="91">
        <v>43525</v>
      </c>
      <c r="F46" s="91">
        <v>43556</v>
      </c>
      <c r="G46" s="91">
        <v>43586</v>
      </c>
      <c r="H46" s="91">
        <v>43617</v>
      </c>
      <c r="I46" s="91">
        <v>43647</v>
      </c>
      <c r="J46" s="91">
        <v>43678</v>
      </c>
      <c r="K46" s="91">
        <v>43709</v>
      </c>
      <c r="L46" s="91">
        <v>43739</v>
      </c>
      <c r="M46" s="91">
        <v>43770</v>
      </c>
      <c r="N46" s="91">
        <v>43800</v>
      </c>
    </row>
    <row r="47" spans="1:14" x14ac:dyDescent="0.3">
      <c r="C47" s="90" t="s">
        <v>170</v>
      </c>
      <c r="D47" s="90" t="s">
        <v>170</v>
      </c>
      <c r="E47" s="90" t="s">
        <v>170</v>
      </c>
      <c r="F47" s="90" t="s">
        <v>170</v>
      </c>
      <c r="G47" s="90" t="s">
        <v>170</v>
      </c>
      <c r="H47" s="90" t="s">
        <v>170</v>
      </c>
      <c r="I47" s="90" t="s">
        <v>170</v>
      </c>
      <c r="J47" s="90" t="s">
        <v>170</v>
      </c>
      <c r="K47" s="90" t="s">
        <v>170</v>
      </c>
      <c r="L47" s="90" t="s">
        <v>170</v>
      </c>
      <c r="M47" s="90" t="s">
        <v>170</v>
      </c>
      <c r="N47" s="90" t="s">
        <v>170</v>
      </c>
    </row>
    <row r="48" spans="1:14" x14ac:dyDescent="0.3">
      <c r="B48" t="s">
        <v>159</v>
      </c>
      <c r="C48" s="95">
        <v>911.7791773688524</v>
      </c>
      <c r="D48" s="95">
        <v>963.17307885085177</v>
      </c>
      <c r="E48" s="95">
        <v>1003.4802607699608</v>
      </c>
      <c r="F48" s="95">
        <v>1162.0148167793941</v>
      </c>
      <c r="G48" s="95">
        <v>1358.8915266756676</v>
      </c>
      <c r="H48" s="95">
        <v>1552.4619147952294</v>
      </c>
      <c r="I48" s="95">
        <v>1800.4546615116703</v>
      </c>
      <c r="J48" s="95">
        <v>2069.7384782975696</v>
      </c>
      <c r="K48" s="95">
        <v>2228.504029330868</v>
      </c>
      <c r="L48" s="95">
        <v>2390.2480684369812</v>
      </c>
      <c r="M48" s="95">
        <v>2544.4274003396395</v>
      </c>
      <c r="N48" s="95">
        <v>2727.6694201483192</v>
      </c>
    </row>
    <row r="49" spans="1:14" x14ac:dyDescent="0.3">
      <c r="B49" t="s">
        <v>160</v>
      </c>
      <c r="C49" s="95">
        <v>3281.6338913513596</v>
      </c>
      <c r="D49" s="95">
        <v>3599.9081143792046</v>
      </c>
      <c r="E49" s="95">
        <v>3876.2687642137539</v>
      </c>
      <c r="F49" s="95">
        <v>4158.6440150713606</v>
      </c>
      <c r="G49" s="95">
        <v>4616.5515595027364</v>
      </c>
      <c r="H49" s="95">
        <v>5232.3343275323959</v>
      </c>
      <c r="I49" s="95">
        <v>5779.0127124339306</v>
      </c>
      <c r="J49" s="95">
        <v>6151.9677443098399</v>
      </c>
      <c r="K49" s="95">
        <v>6593.8923544531908</v>
      </c>
      <c r="L49" s="95">
        <v>7155.230774232562</v>
      </c>
      <c r="M49" s="95">
        <v>7857.0150418553085</v>
      </c>
      <c r="N49" s="95">
        <v>8546.5502757526101</v>
      </c>
    </row>
    <row r="50" spans="1:14" x14ac:dyDescent="0.3">
      <c r="B50" t="s">
        <v>161</v>
      </c>
      <c r="C50" s="95">
        <v>9637.9513132414741</v>
      </c>
      <c r="D50" s="95">
        <v>11190.347720000085</v>
      </c>
      <c r="E50" s="95">
        <v>12719.656991382873</v>
      </c>
      <c r="F50" s="95">
        <v>14061.415390682674</v>
      </c>
      <c r="G50" s="95">
        <v>15411.512374105938</v>
      </c>
      <c r="H50" s="95">
        <v>16763.69074125812</v>
      </c>
      <c r="I50" s="95">
        <v>18111.484718398202</v>
      </c>
      <c r="J50" s="95">
        <v>19648.213005993777</v>
      </c>
      <c r="K50" s="95">
        <v>21598.683633451135</v>
      </c>
      <c r="L50" s="95">
        <v>24217.252677864424</v>
      </c>
      <c r="M50" s="95">
        <v>26860.098573551379</v>
      </c>
      <c r="N50" s="95">
        <v>29705.120804152706</v>
      </c>
    </row>
    <row r="51" spans="1:14" x14ac:dyDescent="0.3">
      <c r="B51" t="s">
        <v>162</v>
      </c>
      <c r="C51" s="95">
        <v>103.44637120510745</v>
      </c>
      <c r="D51" s="95">
        <v>107.07305151069383</v>
      </c>
      <c r="E51" s="95">
        <v>105.49394874782892</v>
      </c>
      <c r="F51" s="95">
        <v>109.82059743037877</v>
      </c>
      <c r="G51" s="95">
        <v>112.63299230230457</v>
      </c>
      <c r="H51" s="95">
        <v>121.54298698089265</v>
      </c>
      <c r="I51" s="95">
        <v>144.14503481917055</v>
      </c>
      <c r="J51" s="95">
        <v>165.53275359430444</v>
      </c>
      <c r="K51" s="95">
        <v>171.85732393126315</v>
      </c>
      <c r="L51" s="95">
        <v>180.53370948371023</v>
      </c>
      <c r="M51" s="95">
        <v>184.61873840919762</v>
      </c>
      <c r="N51" s="95">
        <v>194.55480318665724</v>
      </c>
    </row>
    <row r="52" spans="1:14" x14ac:dyDescent="0.3">
      <c r="B52" t="s">
        <v>163</v>
      </c>
      <c r="C52" s="95">
        <v>205.31658256791616</v>
      </c>
      <c r="D52" s="95">
        <v>230.56555240247201</v>
      </c>
      <c r="E52" s="95">
        <v>261.54583227844915</v>
      </c>
      <c r="F52" s="95">
        <v>282.02032525030876</v>
      </c>
      <c r="G52" s="95">
        <v>307.95371651565563</v>
      </c>
      <c r="H52" s="95">
        <v>323.09755863945367</v>
      </c>
      <c r="I52" s="95">
        <v>343.40471339274819</v>
      </c>
      <c r="J52" s="95">
        <v>352.55894707746381</v>
      </c>
      <c r="K52" s="95">
        <v>358.21428223781885</v>
      </c>
      <c r="L52" s="95">
        <v>383.62493143529809</v>
      </c>
      <c r="M52" s="95">
        <v>406.22373143561981</v>
      </c>
      <c r="N52" s="95">
        <v>441.49352185556899</v>
      </c>
    </row>
    <row r="53" spans="1:14" x14ac:dyDescent="0.3">
      <c r="B53" t="s">
        <v>164</v>
      </c>
      <c r="C53" s="95">
        <v>789.63662438192364</v>
      </c>
      <c r="D53" s="95">
        <v>847.28856580053525</v>
      </c>
      <c r="E53" s="95">
        <v>922.71030778656177</v>
      </c>
      <c r="F53" s="95">
        <v>1014.9741541362753</v>
      </c>
      <c r="G53" s="95">
        <v>1098.6273675646269</v>
      </c>
      <c r="H53" s="95">
        <v>1185.7853171186284</v>
      </c>
      <c r="I53" s="95">
        <v>1287.7160844485975</v>
      </c>
      <c r="J53" s="95">
        <v>1442.4496825328356</v>
      </c>
      <c r="K53" s="95">
        <v>1598.5536851598783</v>
      </c>
      <c r="L53" s="95">
        <v>1768.7883892104155</v>
      </c>
      <c r="M53" s="95">
        <v>1963.5150127881036</v>
      </c>
      <c r="N53" s="95">
        <v>2168.754909055855</v>
      </c>
    </row>
    <row r="54" spans="1:14" x14ac:dyDescent="0.3">
      <c r="B54" t="s">
        <v>165</v>
      </c>
      <c r="C54" s="95">
        <v>7710.1420963629162</v>
      </c>
      <c r="D54" s="95">
        <v>7994.5628580802086</v>
      </c>
      <c r="E54" s="95">
        <v>8632.0287020656269</v>
      </c>
      <c r="F54" s="95">
        <v>9505.0396283191676</v>
      </c>
      <c r="G54" s="95">
        <v>10640.262303507501</v>
      </c>
      <c r="H54" s="95">
        <v>11260.613394297292</v>
      </c>
      <c r="I54" s="95">
        <v>11856.301234021877</v>
      </c>
      <c r="J54" s="95">
        <v>12375.867489347918</v>
      </c>
      <c r="K54" s="95">
        <v>13288.895493608754</v>
      </c>
      <c r="L54" s="95">
        <v>14448.718580137711</v>
      </c>
      <c r="M54" s="95">
        <v>15780.961748934795</v>
      </c>
      <c r="N54" s="95">
        <v>17212.083333333336</v>
      </c>
    </row>
    <row r="55" spans="1:14" x14ac:dyDescent="0.3">
      <c r="B55" t="s">
        <v>166</v>
      </c>
      <c r="C55" s="95">
        <v>514.69600457052229</v>
      </c>
      <c r="D55" s="95">
        <v>453.93631325608419</v>
      </c>
      <c r="E55" s="95">
        <v>422.06269426754818</v>
      </c>
      <c r="F55" s="95">
        <v>371.79689420829294</v>
      </c>
      <c r="G55" s="95">
        <v>379.20563878665354</v>
      </c>
      <c r="H55" s="95">
        <v>415.34629465431942</v>
      </c>
      <c r="I55" s="95">
        <v>465.74561351826117</v>
      </c>
      <c r="J55" s="95">
        <v>484.26108850544597</v>
      </c>
      <c r="K55" s="95">
        <v>533.11601386739585</v>
      </c>
      <c r="L55" s="95">
        <v>580.05878147171882</v>
      </c>
      <c r="M55" s="95">
        <v>610.05433509285854</v>
      </c>
      <c r="N55" s="95">
        <v>639.19589150242109</v>
      </c>
    </row>
    <row r="56" spans="1:14" ht="15" thickBot="1" x14ac:dyDescent="0.35">
      <c r="B56" s="93" t="s">
        <v>173</v>
      </c>
      <c r="C56" s="96">
        <v>23154.602061050071</v>
      </c>
      <c r="D56" s="96">
        <v>25386.855254280134</v>
      </c>
      <c r="E56" s="96">
        <v>27943.247501512607</v>
      </c>
      <c r="F56" s="96">
        <v>30665.725821877848</v>
      </c>
      <c r="G56" s="96">
        <v>33925.637478961078</v>
      </c>
      <c r="H56" s="96">
        <v>36854.872535276336</v>
      </c>
      <c r="I56" s="96">
        <v>39788.264772544455</v>
      </c>
      <c r="J56" s="96">
        <v>42690.589189659149</v>
      </c>
      <c r="K56" s="96">
        <v>46371.716816040302</v>
      </c>
      <c r="L56" s="96">
        <v>51124.455912272824</v>
      </c>
      <c r="M56" s="96">
        <v>56206.914582406898</v>
      </c>
      <c r="N56" s="96">
        <v>61635.422958987474</v>
      </c>
    </row>
    <row r="57" spans="1:14" ht="15" thickTop="1" x14ac:dyDescent="0.3"/>
    <row r="59" spans="1:14" x14ac:dyDescent="0.3">
      <c r="A59" s="90" t="s">
        <v>176</v>
      </c>
      <c r="B59" s="90" t="s">
        <v>177</v>
      </c>
    </row>
    <row r="60" spans="1:14" x14ac:dyDescent="0.3">
      <c r="C60" s="91">
        <v>43466</v>
      </c>
      <c r="D60" s="91">
        <v>43497</v>
      </c>
      <c r="E60" s="91">
        <v>43525</v>
      </c>
      <c r="F60" s="91">
        <v>43556</v>
      </c>
      <c r="G60" s="91">
        <v>43586</v>
      </c>
      <c r="H60" s="91">
        <v>43617</v>
      </c>
      <c r="I60" s="91">
        <v>43647</v>
      </c>
      <c r="J60" s="91">
        <v>43678</v>
      </c>
      <c r="K60" s="91">
        <v>43709</v>
      </c>
      <c r="L60" s="91">
        <v>43739</v>
      </c>
      <c r="M60" s="91">
        <v>43770</v>
      </c>
      <c r="N60" s="91">
        <v>43800</v>
      </c>
    </row>
    <row r="62" spans="1:14" x14ac:dyDescent="0.3">
      <c r="B62" t="s">
        <v>159</v>
      </c>
      <c r="C62" s="97">
        <v>0.10964083175803403</v>
      </c>
      <c r="D62" s="97">
        <v>0.11099744245524297</v>
      </c>
      <c r="E62" s="97">
        <v>0.112</v>
      </c>
      <c r="F62" s="97">
        <v>0.11310344827586206</v>
      </c>
      <c r="G62" s="97">
        <v>0.11423588402005669</v>
      </c>
      <c r="H62" s="97">
        <v>0.11533691608102521</v>
      </c>
      <c r="I62" s="97">
        <v>0.11665688001565865</v>
      </c>
      <c r="J62" s="97">
        <v>0.11769059955588453</v>
      </c>
      <c r="K62" s="97">
        <v>0.11818023357155308</v>
      </c>
      <c r="L62" s="97">
        <v>0.11847719067935675</v>
      </c>
      <c r="M62" s="97">
        <v>0.11895566198053453</v>
      </c>
      <c r="N62" s="97">
        <v>0.11947674418604651</v>
      </c>
    </row>
    <row r="63" spans="1:14" x14ac:dyDescent="0.3">
      <c r="B63" t="s">
        <v>160</v>
      </c>
      <c r="C63" s="97">
        <v>0.12908452605995138</v>
      </c>
      <c r="D63" s="97">
        <v>0.13145780051150896</v>
      </c>
      <c r="E63" s="97">
        <v>0.13333333333333333</v>
      </c>
      <c r="F63" s="97">
        <v>0.13563218390804599</v>
      </c>
      <c r="G63" s="97">
        <v>0.13734466971877043</v>
      </c>
      <c r="H63" s="97">
        <v>0.13972715998346424</v>
      </c>
      <c r="I63" s="97">
        <v>0.14171070659620277</v>
      </c>
      <c r="J63" s="97">
        <v>0.14359733530717986</v>
      </c>
      <c r="K63" s="97">
        <v>0.14467491720411366</v>
      </c>
      <c r="L63" s="97">
        <v>0.14604529044962258</v>
      </c>
      <c r="M63" s="97">
        <v>0.1476904063031052</v>
      </c>
      <c r="N63" s="97">
        <v>0.14883720930232558</v>
      </c>
    </row>
    <row r="64" spans="1:14" x14ac:dyDescent="0.3">
      <c r="B64" t="s">
        <v>161</v>
      </c>
      <c r="C64" s="97">
        <v>0.2689711045098569</v>
      </c>
      <c r="D64" s="97">
        <v>0.26905370843989768</v>
      </c>
      <c r="E64" s="97">
        <v>0.2690909090909091</v>
      </c>
      <c r="F64" s="97">
        <v>0.26896551724137929</v>
      </c>
      <c r="G64" s="97">
        <v>0.26902114671898847</v>
      </c>
      <c r="H64" s="97">
        <v>0.26911947085572552</v>
      </c>
      <c r="I64" s="97">
        <v>0.2689371697005285</v>
      </c>
      <c r="J64" s="97">
        <v>0.2701702442635085</v>
      </c>
      <c r="K64" s="97">
        <v>0.27401080704200803</v>
      </c>
      <c r="L64" s="97">
        <v>0.27765014768624879</v>
      </c>
      <c r="M64" s="97">
        <v>0.28116792831762705</v>
      </c>
      <c r="N64" s="97">
        <v>0.28488372093023256</v>
      </c>
    </row>
    <row r="65" spans="1:14" x14ac:dyDescent="0.3">
      <c r="B65" t="s">
        <v>162</v>
      </c>
      <c r="C65" s="97">
        <v>2.7005130974885227E-2</v>
      </c>
      <c r="D65" s="97">
        <v>2.710997442455243E-2</v>
      </c>
      <c r="E65" s="97">
        <v>2.6666666666666668E-2</v>
      </c>
      <c r="F65" s="97">
        <v>2.6666666666666668E-2</v>
      </c>
      <c r="G65" s="97">
        <v>2.6160889470241987E-2</v>
      </c>
      <c r="H65" s="97">
        <v>2.5630425795783382E-2</v>
      </c>
      <c r="I65" s="97">
        <v>2.5836758661186142E-2</v>
      </c>
      <c r="J65" s="97">
        <v>2.5536639526276831E-2</v>
      </c>
      <c r="K65" s="97">
        <v>2.5100226599267909E-2</v>
      </c>
      <c r="L65" s="97">
        <v>2.4614374794880212E-2</v>
      </c>
      <c r="M65" s="97">
        <v>2.4100108141510892E-2</v>
      </c>
      <c r="N65" s="97">
        <v>2.3837209302325583E-2</v>
      </c>
    </row>
    <row r="66" spans="1:14" x14ac:dyDescent="0.3">
      <c r="B66" t="s">
        <v>163</v>
      </c>
      <c r="C66" s="97">
        <v>2.4034566567647853E-2</v>
      </c>
      <c r="D66" s="97">
        <v>2.4552429667519183E-2</v>
      </c>
      <c r="E66" s="97">
        <v>2.5454545454545455E-2</v>
      </c>
      <c r="F66" s="97">
        <v>2.574712643678161E-2</v>
      </c>
      <c r="G66" s="97">
        <v>2.6378896882494004E-2</v>
      </c>
      <c r="H66" s="97">
        <v>2.6457213724679619E-2</v>
      </c>
      <c r="I66" s="97">
        <v>2.6815423761988647E-2</v>
      </c>
      <c r="J66" s="97">
        <v>2.7017024426350851E-2</v>
      </c>
      <c r="K66" s="97">
        <v>2.701760502004532E-2</v>
      </c>
      <c r="L66" s="97">
        <v>2.6911716442402363E-2</v>
      </c>
      <c r="M66" s="97">
        <v>2.6726401977444771E-2</v>
      </c>
      <c r="N66" s="97">
        <v>2.6453488372093024E-2</v>
      </c>
    </row>
    <row r="67" spans="1:14" x14ac:dyDescent="0.3">
      <c r="B67" t="s">
        <v>164</v>
      </c>
      <c r="C67" s="97">
        <v>6.3192006481231439E-2</v>
      </c>
      <c r="D67" s="97">
        <v>6.342710997442455E-2</v>
      </c>
      <c r="E67" s="97">
        <v>6.4000000000000001E-2</v>
      </c>
      <c r="F67" s="97">
        <v>6.4827586206896548E-2</v>
      </c>
      <c r="G67" s="97">
        <v>6.540222367560497E-2</v>
      </c>
      <c r="H67" s="97">
        <v>6.6143034311699045E-2</v>
      </c>
      <c r="I67" s="97">
        <v>6.6549226854570362E-2</v>
      </c>
      <c r="J67" s="97">
        <v>6.7727609178386383E-2</v>
      </c>
      <c r="K67" s="97">
        <v>6.8328394631340425E-2</v>
      </c>
      <c r="L67" s="97">
        <v>6.9248441089596324E-2</v>
      </c>
      <c r="M67" s="97">
        <v>7.0446469952108765E-2</v>
      </c>
      <c r="N67" s="97">
        <v>7.1511627906976738E-2</v>
      </c>
    </row>
    <row r="68" spans="1:14" x14ac:dyDescent="0.3">
      <c r="B68" t="s">
        <v>165</v>
      </c>
      <c r="C68" s="97">
        <v>0.35106670267350798</v>
      </c>
      <c r="D68" s="97">
        <v>0.34782608695652173</v>
      </c>
      <c r="E68" s="97">
        <v>0.34424242424242424</v>
      </c>
      <c r="F68" s="97">
        <v>0.34068965517241379</v>
      </c>
      <c r="G68" s="97">
        <v>0.33791148899062567</v>
      </c>
      <c r="H68" s="97">
        <v>0.33484911120297645</v>
      </c>
      <c r="I68" s="97">
        <v>0.33118027011156781</v>
      </c>
      <c r="J68" s="97">
        <v>0.32716506291635827</v>
      </c>
      <c r="K68" s="97">
        <v>0.32211957469060487</v>
      </c>
      <c r="L68" s="97">
        <v>0.3170331473580571</v>
      </c>
      <c r="M68" s="97">
        <v>0.31175652711262164</v>
      </c>
      <c r="N68" s="97">
        <v>0.3066860465116279</v>
      </c>
    </row>
    <row r="69" spans="1:14" x14ac:dyDescent="0.3">
      <c r="B69" t="s">
        <v>166</v>
      </c>
      <c r="C69" s="97">
        <v>2.7005130974885227E-2</v>
      </c>
      <c r="D69" s="97">
        <v>2.557544757033248E-2</v>
      </c>
      <c r="E69" s="97">
        <v>2.5212121212121213E-2</v>
      </c>
      <c r="F69" s="97">
        <v>2.4367816091954021E-2</v>
      </c>
      <c r="G69" s="97">
        <v>2.354480052321779E-2</v>
      </c>
      <c r="H69" s="97">
        <v>2.2736668044646548E-2</v>
      </c>
      <c r="I69" s="97">
        <v>2.2313564298297124E-2</v>
      </c>
      <c r="J69" s="97">
        <v>2.1095484826054774E-2</v>
      </c>
      <c r="K69" s="97">
        <v>2.0568241241066761E-2</v>
      </c>
      <c r="L69" s="97">
        <v>2.0019691499835904E-2</v>
      </c>
      <c r="M69" s="97">
        <v>1.9156496215047118E-2</v>
      </c>
      <c r="N69" s="97">
        <v>1.8313953488372094E-2</v>
      </c>
    </row>
    <row r="70" spans="1:14" ht="15" thickBot="1" x14ac:dyDescent="0.35">
      <c r="B70" s="93" t="s">
        <v>178</v>
      </c>
      <c r="C70" s="98">
        <v>1.0000000000000002</v>
      </c>
      <c r="D70" s="98">
        <v>0.99999999999999989</v>
      </c>
      <c r="E70" s="98">
        <v>1</v>
      </c>
      <c r="F70" s="98">
        <v>0.99999999999999989</v>
      </c>
      <c r="G70" s="98">
        <v>1</v>
      </c>
      <c r="H70" s="98">
        <v>0.99999999999999989</v>
      </c>
      <c r="I70" s="98">
        <v>1</v>
      </c>
      <c r="J70" s="98">
        <v>1</v>
      </c>
      <c r="K70" s="98">
        <v>1.0000000000000002</v>
      </c>
      <c r="L70" s="98">
        <v>1</v>
      </c>
      <c r="M70" s="98">
        <v>0.99999999999999989</v>
      </c>
      <c r="N70" s="98">
        <v>1</v>
      </c>
    </row>
    <row r="71" spans="1:14" ht="15" thickTop="1" x14ac:dyDescent="0.3">
      <c r="B71" s="90"/>
      <c r="C71" s="90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</row>
    <row r="72" spans="1:14" x14ac:dyDescent="0.3">
      <c r="A72" s="90" t="s">
        <v>179</v>
      </c>
      <c r="B72" s="90" t="s">
        <v>180</v>
      </c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</row>
    <row r="73" spans="1:14" x14ac:dyDescent="0.3">
      <c r="B73" s="90"/>
      <c r="C73" s="91">
        <v>43466</v>
      </c>
      <c r="D73" s="91">
        <v>43497</v>
      </c>
      <c r="E73" s="91">
        <v>43525</v>
      </c>
      <c r="F73" s="91">
        <v>43556</v>
      </c>
      <c r="G73" s="91">
        <v>43586</v>
      </c>
      <c r="H73" s="91">
        <v>43617</v>
      </c>
      <c r="I73" s="91">
        <v>43647</v>
      </c>
      <c r="J73" s="91">
        <v>43678</v>
      </c>
      <c r="K73" s="91">
        <v>43709</v>
      </c>
      <c r="L73" s="91">
        <v>43739</v>
      </c>
      <c r="M73" s="91">
        <v>43770</v>
      </c>
      <c r="N73" s="91">
        <v>43800</v>
      </c>
    </row>
    <row r="74" spans="1:14" x14ac:dyDescent="0.3">
      <c r="B74" s="90"/>
      <c r="C74" s="90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</row>
    <row r="75" spans="1:14" x14ac:dyDescent="0.3">
      <c r="B75" t="s">
        <v>159</v>
      </c>
      <c r="C75" s="97">
        <v>3.9377881553085213E-2</v>
      </c>
      <c r="D75" s="97">
        <v>3.7939834185979543E-2</v>
      </c>
      <c r="E75" s="97">
        <v>3.591136859506544E-2</v>
      </c>
      <c r="F75" s="97">
        <v>3.7892950048825452E-2</v>
      </c>
      <c r="G75" s="97">
        <v>4.005500346215695E-2</v>
      </c>
      <c r="H75" s="97">
        <v>4.2123654431561561E-2</v>
      </c>
      <c r="I75" s="97">
        <v>4.525089676074686E-2</v>
      </c>
      <c r="J75" s="97">
        <v>4.8482312321866901E-2</v>
      </c>
      <c r="K75" s="97">
        <v>4.8057397533317399E-2</v>
      </c>
      <c r="L75" s="97">
        <v>4.6753516018606341E-2</v>
      </c>
      <c r="M75" s="97">
        <v>4.5268939226492617E-2</v>
      </c>
      <c r="N75" s="97">
        <v>4.4254899036927586E-2</v>
      </c>
    </row>
    <row r="76" spans="1:14" x14ac:dyDescent="0.3">
      <c r="B76" t="s">
        <v>160</v>
      </c>
      <c r="C76" s="97">
        <v>0.14172706931861373</v>
      </c>
      <c r="D76" s="97">
        <v>0.1418020498530346</v>
      </c>
      <c r="E76" s="97">
        <v>0.13871933689897448</v>
      </c>
      <c r="F76" s="97">
        <v>0.13561211755517816</v>
      </c>
      <c r="G76" s="97">
        <v>0.13607855010434755</v>
      </c>
      <c r="H76" s="97">
        <v>0.14197130440552111</v>
      </c>
      <c r="I76" s="97">
        <v>0.14524415039134073</v>
      </c>
      <c r="J76" s="97">
        <v>0.14410594608987073</v>
      </c>
      <c r="K76" s="97">
        <v>0.14219642504528357</v>
      </c>
      <c r="L76" s="97">
        <v>0.13995710363178443</v>
      </c>
      <c r="M76" s="97">
        <v>0.13978733933768714</v>
      </c>
      <c r="N76" s="97">
        <v>0.13866296141813658</v>
      </c>
    </row>
    <row r="77" spans="1:14" x14ac:dyDescent="0.3">
      <c r="B77" t="s">
        <v>161</v>
      </c>
      <c r="C77" s="97">
        <v>0.41624344429801824</v>
      </c>
      <c r="D77" s="97">
        <v>0.44079298550037749</v>
      </c>
      <c r="E77" s="97">
        <v>0.45519608952732998</v>
      </c>
      <c r="F77" s="97">
        <v>0.45853848274645564</v>
      </c>
      <c r="G77" s="97">
        <v>0.45427333189135677</v>
      </c>
      <c r="H77" s="97">
        <v>0.45485683677816108</v>
      </c>
      <c r="I77" s="97">
        <v>0.45519664710022423</v>
      </c>
      <c r="J77" s="97">
        <v>0.46024693917209092</v>
      </c>
      <c r="K77" s="97">
        <v>0.46577278385302306</v>
      </c>
      <c r="L77" s="97">
        <v>0.47369213511866215</v>
      </c>
      <c r="M77" s="97">
        <v>0.47787890107667913</v>
      </c>
      <c r="N77" s="97">
        <v>0.48194884334481886</v>
      </c>
    </row>
    <row r="78" spans="1:14" x14ac:dyDescent="0.3">
      <c r="B78" t="s">
        <v>162</v>
      </c>
      <c r="C78" s="97">
        <v>4.4676376183169922E-3</v>
      </c>
      <c r="D78" s="97">
        <v>4.2176571473003417E-3</v>
      </c>
      <c r="E78" s="97">
        <v>3.7752930736528884E-3</v>
      </c>
      <c r="F78" s="97">
        <v>3.5812163086656654E-3</v>
      </c>
      <c r="G78" s="97">
        <v>3.3199963411786652E-3</v>
      </c>
      <c r="H78" s="97">
        <v>3.2978810838256321E-3</v>
      </c>
      <c r="I78" s="97">
        <v>3.6228027445579024E-3</v>
      </c>
      <c r="J78" s="97">
        <v>3.8774998597208652E-3</v>
      </c>
      <c r="K78" s="97">
        <v>3.7060806830385997E-3</v>
      </c>
      <c r="L78" s="97">
        <v>3.5312592821231709E-3</v>
      </c>
      <c r="M78" s="97">
        <v>3.2846268075882677E-3</v>
      </c>
      <c r="N78" s="97">
        <v>3.1565420312944879E-3</v>
      </c>
    </row>
    <row r="79" spans="1:14" x14ac:dyDescent="0.3">
      <c r="B79" t="s">
        <v>163</v>
      </c>
      <c r="C79" s="97">
        <v>8.8672041102918851E-3</v>
      </c>
      <c r="D79" s="97">
        <v>9.0820840191933368E-3</v>
      </c>
      <c r="E79" s="97">
        <v>9.3598939158482317E-3</v>
      </c>
      <c r="F79" s="97">
        <v>9.196597102851126E-3</v>
      </c>
      <c r="G79" s="97">
        <v>9.0773155465872259E-3</v>
      </c>
      <c r="H79" s="97">
        <v>8.7667528446935955E-3</v>
      </c>
      <c r="I79" s="97">
        <v>8.6308039658394859E-3</v>
      </c>
      <c r="J79" s="97">
        <v>8.2584699290789692E-3</v>
      </c>
      <c r="K79" s="97">
        <v>7.7248440824151249E-3</v>
      </c>
      <c r="L79" s="97">
        <v>7.5037459976802596E-3</v>
      </c>
      <c r="M79" s="97">
        <v>7.2272910629179116E-3</v>
      </c>
      <c r="N79" s="97">
        <v>7.1629835678963544E-3</v>
      </c>
    </row>
    <row r="80" spans="1:14" x14ac:dyDescent="0.3">
      <c r="B80" t="s">
        <v>164</v>
      </c>
      <c r="C80" s="97">
        <v>3.4102794006130858E-2</v>
      </c>
      <c r="D80" s="97">
        <v>3.3375089482880531E-2</v>
      </c>
      <c r="E80" s="97">
        <v>3.3020868735339874E-2</v>
      </c>
      <c r="F80" s="97">
        <v>3.3097998724431373E-2</v>
      </c>
      <c r="G80" s="97">
        <v>3.2383396428318806E-2</v>
      </c>
      <c r="H80" s="97">
        <v>3.2174451722323326E-2</v>
      </c>
      <c r="I80" s="97">
        <v>3.2364218238971176E-2</v>
      </c>
      <c r="J80" s="97">
        <v>3.3788469775494157E-2</v>
      </c>
      <c r="K80" s="97">
        <v>3.4472600863613645E-2</v>
      </c>
      <c r="L80" s="97">
        <v>3.4597696105471983E-2</v>
      </c>
      <c r="M80" s="97">
        <v>3.493369147508224E-2</v>
      </c>
      <c r="N80" s="97">
        <v>3.5186826096722912E-2</v>
      </c>
    </row>
    <row r="81" spans="1:14" x14ac:dyDescent="0.3">
      <c r="B81" t="s">
        <v>165</v>
      </c>
      <c r="C81" s="97">
        <v>0.33298529925213743</v>
      </c>
      <c r="D81" s="97">
        <v>0.31490953794808257</v>
      </c>
      <c r="E81" s="97">
        <v>0.3089128671103229</v>
      </c>
      <c r="F81" s="97">
        <v>0.30995645377935216</v>
      </c>
      <c r="G81" s="97">
        <v>0.31363485240641509</v>
      </c>
      <c r="H81" s="97">
        <v>0.30553933902549746</v>
      </c>
      <c r="I81" s="97">
        <v>0.29798487824991088</v>
      </c>
      <c r="J81" s="97">
        <v>0.2898968537156123</v>
      </c>
      <c r="K81" s="97">
        <v>0.28657329092055595</v>
      </c>
      <c r="L81" s="97">
        <v>0.28261853006183646</v>
      </c>
      <c r="M81" s="97">
        <v>0.28076548706116544</v>
      </c>
      <c r="N81" s="97">
        <v>0.27925635141315319</v>
      </c>
    </row>
    <row r="82" spans="1:14" x14ac:dyDescent="0.3">
      <c r="B82" t="s">
        <v>166</v>
      </c>
      <c r="C82" s="97">
        <v>2.2228669843405661E-2</v>
      </c>
      <c r="D82" s="97">
        <v>1.7880761863151684E-2</v>
      </c>
      <c r="E82" s="97">
        <v>1.5104282143466013E-2</v>
      </c>
      <c r="F82" s="97">
        <v>1.2124183734240587E-2</v>
      </c>
      <c r="G82" s="97">
        <v>1.1177553819639122E-2</v>
      </c>
      <c r="H82" s="97">
        <v>1.1269779708416109E-2</v>
      </c>
      <c r="I82" s="97">
        <v>1.1705602548408817E-2</v>
      </c>
      <c r="J82" s="97">
        <v>1.1343509136265272E-2</v>
      </c>
      <c r="K82" s="97">
        <v>1.1496577018752674E-2</v>
      </c>
      <c r="L82" s="97">
        <v>1.1346013783835129E-2</v>
      </c>
      <c r="M82" s="97">
        <v>1.0853723952387331E-2</v>
      </c>
      <c r="N82" s="97">
        <v>1.0370593091050017E-2</v>
      </c>
    </row>
    <row r="83" spans="1:14" ht="15" thickBot="1" x14ac:dyDescent="0.35">
      <c r="B83" s="93" t="s">
        <v>178</v>
      </c>
      <c r="C83" s="98">
        <v>0.99999999999999989</v>
      </c>
      <c r="D83" s="98">
        <v>1</v>
      </c>
      <c r="E83" s="98">
        <v>0.99999999999999967</v>
      </c>
      <c r="F83" s="98">
        <v>1.0000000000000002</v>
      </c>
      <c r="G83" s="98">
        <v>1</v>
      </c>
      <c r="H83" s="98">
        <v>1</v>
      </c>
      <c r="I83" s="98">
        <v>1.0000000000000002</v>
      </c>
      <c r="J83" s="98">
        <v>1.0000000000000002</v>
      </c>
      <c r="K83" s="98">
        <v>1</v>
      </c>
      <c r="L83" s="98">
        <v>1</v>
      </c>
      <c r="M83" s="98">
        <v>1</v>
      </c>
      <c r="N83" s="98">
        <v>1</v>
      </c>
    </row>
    <row r="84" spans="1:14" ht="15" thickTop="1" x14ac:dyDescent="0.3">
      <c r="B84" s="90"/>
      <c r="C84" s="90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</row>
    <row r="85" spans="1:14" x14ac:dyDescent="0.3">
      <c r="B85" s="99" t="s">
        <v>181</v>
      </c>
      <c r="C85" s="90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</row>
    <row r="86" spans="1:14" x14ac:dyDescent="0.3">
      <c r="A86" s="90" t="s">
        <v>182</v>
      </c>
      <c r="B86" s="90" t="s">
        <v>183</v>
      </c>
    </row>
    <row r="87" spans="1:14" x14ac:dyDescent="0.3">
      <c r="C87" s="91">
        <v>43466</v>
      </c>
      <c r="D87" s="91">
        <v>43497</v>
      </c>
      <c r="E87" s="91">
        <v>43525</v>
      </c>
      <c r="F87" s="91">
        <v>43556</v>
      </c>
      <c r="G87" s="91">
        <v>43586</v>
      </c>
      <c r="H87" s="91">
        <v>43617</v>
      </c>
      <c r="I87" s="91">
        <v>43647</v>
      </c>
      <c r="J87" s="91">
        <v>43678</v>
      </c>
      <c r="K87" s="91">
        <v>43709</v>
      </c>
      <c r="L87" s="91">
        <v>43739</v>
      </c>
      <c r="M87" s="91">
        <v>43770</v>
      </c>
      <c r="N87" s="91">
        <v>43800</v>
      </c>
    </row>
    <row r="88" spans="1:14" x14ac:dyDescent="0.3">
      <c r="C88" s="90" t="s">
        <v>170</v>
      </c>
      <c r="D88" s="90" t="s">
        <v>170</v>
      </c>
      <c r="E88" s="90" t="s">
        <v>170</v>
      </c>
      <c r="F88" s="90" t="s">
        <v>170</v>
      </c>
      <c r="G88" s="90" t="s">
        <v>170</v>
      </c>
      <c r="H88" s="90" t="s">
        <v>170</v>
      </c>
      <c r="I88" s="90" t="s">
        <v>170</v>
      </c>
      <c r="J88" s="90" t="s">
        <v>170</v>
      </c>
      <c r="K88" s="90" t="s">
        <v>170</v>
      </c>
      <c r="L88" s="90" t="s">
        <v>170</v>
      </c>
      <c r="M88" s="90" t="s">
        <v>170</v>
      </c>
      <c r="N88" s="90" t="s">
        <v>170</v>
      </c>
    </row>
    <row r="89" spans="1:14" x14ac:dyDescent="0.3">
      <c r="B89" t="s">
        <v>159</v>
      </c>
      <c r="C89" s="100">
        <v>128.6</v>
      </c>
      <c r="D89" s="100">
        <v>144.19999999999999</v>
      </c>
      <c r="E89" s="100">
        <v>160.19999999999999</v>
      </c>
      <c r="F89" s="100">
        <v>182.4</v>
      </c>
      <c r="G89" s="100">
        <v>207.6</v>
      </c>
      <c r="H89" s="100">
        <v>234.2</v>
      </c>
      <c r="I89" s="100">
        <v>265.2</v>
      </c>
      <c r="J89" s="100">
        <v>298.8</v>
      </c>
      <c r="K89" s="100">
        <v>324.60000000000002</v>
      </c>
      <c r="L89" s="100">
        <v>351.4</v>
      </c>
      <c r="M89" s="100">
        <v>380.2</v>
      </c>
      <c r="N89" s="100">
        <v>411</v>
      </c>
    </row>
    <row r="90" spans="1:14" x14ac:dyDescent="0.3">
      <c r="B90" t="s">
        <v>160</v>
      </c>
      <c r="C90" s="100">
        <v>352.14883714285696</v>
      </c>
      <c r="D90" s="100">
        <v>391.96906971428552</v>
      </c>
      <c r="E90" s="100">
        <v>431.78930228571414</v>
      </c>
      <c r="F90" s="100">
        <v>475.35953485714276</v>
      </c>
      <c r="G90" s="100">
        <v>522.30476742857138</v>
      </c>
      <c r="H90" s="100">
        <v>576.75</v>
      </c>
      <c r="I90" s="100">
        <v>629.25</v>
      </c>
      <c r="J90" s="100">
        <v>682.875</v>
      </c>
      <c r="K90" s="100">
        <v>739.875</v>
      </c>
      <c r="L90" s="100">
        <v>804</v>
      </c>
      <c r="M90" s="100">
        <v>875.625</v>
      </c>
      <c r="N90" s="100">
        <v>949.5</v>
      </c>
    </row>
    <row r="91" spans="1:14" x14ac:dyDescent="0.3">
      <c r="B91" t="s">
        <v>161</v>
      </c>
      <c r="C91" s="100">
        <v>509.68269048175176</v>
      </c>
      <c r="D91" s="100">
        <v>609.57630108029184</v>
      </c>
      <c r="E91" s="100">
        <v>711.46991167883209</v>
      </c>
      <c r="F91" s="100">
        <v>808.04792051094876</v>
      </c>
      <c r="G91" s="100">
        <v>908.62592934306565</v>
      </c>
      <c r="H91" s="100">
        <v>1013.2039381751824</v>
      </c>
      <c r="I91" s="100">
        <v>1121.7819470072993</v>
      </c>
      <c r="J91" s="100">
        <v>1244.359955839416</v>
      </c>
      <c r="K91" s="100">
        <v>1392.9379646715331</v>
      </c>
      <c r="L91" s="100">
        <v>1581.5159735036498</v>
      </c>
      <c r="M91" s="100">
        <v>1779.6939823357666</v>
      </c>
      <c r="N91" s="100">
        <v>1993.5719911678834</v>
      </c>
    </row>
    <row r="92" spans="1:14" x14ac:dyDescent="0.3">
      <c r="B92" t="s">
        <v>162</v>
      </c>
      <c r="C92" s="100">
        <v>15.24</v>
      </c>
      <c r="D92" s="100">
        <v>16.440000000000001</v>
      </c>
      <c r="E92" s="100">
        <v>17.28</v>
      </c>
      <c r="F92" s="100">
        <v>18.54</v>
      </c>
      <c r="G92" s="100">
        <v>19.5</v>
      </c>
      <c r="H92" s="100">
        <v>20.58</v>
      </c>
      <c r="I92" s="100">
        <v>22.5</v>
      </c>
      <c r="J92" s="100">
        <v>24.12</v>
      </c>
      <c r="K92" s="100">
        <v>25.38</v>
      </c>
      <c r="L92" s="100">
        <v>26.64</v>
      </c>
      <c r="M92" s="100">
        <v>27.9</v>
      </c>
      <c r="N92" s="100">
        <v>29.52</v>
      </c>
    </row>
    <row r="93" spans="1:14" x14ac:dyDescent="0.3">
      <c r="B93" t="s">
        <v>163</v>
      </c>
      <c r="C93" s="100">
        <v>51.268767500000003</v>
      </c>
      <c r="D93" s="100">
        <v>49.933014</v>
      </c>
      <c r="E93" s="100">
        <v>49.377260499999998</v>
      </c>
      <c r="F93" s="100">
        <v>48.041507000000003</v>
      </c>
      <c r="G93" s="100">
        <v>47.485753500000001</v>
      </c>
      <c r="H93" s="100">
        <v>46.15</v>
      </c>
      <c r="I93" s="100">
        <v>49.92</v>
      </c>
      <c r="J93" s="100">
        <v>53.56</v>
      </c>
      <c r="K93" s="100">
        <v>57.2</v>
      </c>
      <c r="L93" s="100">
        <v>61.23</v>
      </c>
      <c r="M93" s="100">
        <v>65.260000000000005</v>
      </c>
      <c r="N93" s="100">
        <v>69.55</v>
      </c>
    </row>
    <row r="94" spans="1:14" x14ac:dyDescent="0.3">
      <c r="B94" t="s">
        <v>164</v>
      </c>
      <c r="C94" s="100">
        <v>139.50552552000005</v>
      </c>
      <c r="D94" s="100">
        <v>147.50502320000004</v>
      </c>
      <c r="E94" s="100">
        <v>157.00452088000006</v>
      </c>
      <c r="F94" s="100">
        <v>168.00401856000005</v>
      </c>
      <c r="G94" s="100">
        <v>179.00351624000007</v>
      </c>
      <c r="H94" s="100">
        <v>191.25301392000009</v>
      </c>
      <c r="I94" s="100">
        <v>204.00251160000008</v>
      </c>
      <c r="J94" s="100">
        <v>221.0020092800001</v>
      </c>
      <c r="K94" s="100">
        <v>238.25150696000009</v>
      </c>
      <c r="L94" s="100">
        <v>258.00100464000013</v>
      </c>
      <c r="M94" s="100">
        <v>280.50050232000012</v>
      </c>
      <c r="N94" s="100">
        <v>304.50000000000011</v>
      </c>
    </row>
    <row r="95" spans="1:14" x14ac:dyDescent="0.3">
      <c r="B95" t="s">
        <v>165</v>
      </c>
      <c r="C95" s="100">
        <v>777.07563645739913</v>
      </c>
      <c r="D95" s="100">
        <v>858.78466950672646</v>
      </c>
      <c r="E95" s="100">
        <v>946.8687025560539</v>
      </c>
      <c r="F95" s="100">
        <v>1040.9527356053811</v>
      </c>
      <c r="G95" s="100">
        <v>1144.4117686547083</v>
      </c>
      <c r="H95" s="100">
        <v>1242.6208017040358</v>
      </c>
      <c r="I95" s="100">
        <v>1343.0798347533632</v>
      </c>
      <c r="J95" s="100">
        <v>1446.5388678026904</v>
      </c>
      <c r="K95" s="100">
        <v>1560.1229008520179</v>
      </c>
      <c r="L95" s="100">
        <v>1681.5819339013453</v>
      </c>
      <c r="M95" s="100">
        <v>1808.2909669506726</v>
      </c>
      <c r="N95" s="100">
        <v>1942.125</v>
      </c>
    </row>
    <row r="96" spans="1:14" x14ac:dyDescent="0.3">
      <c r="B96" t="s">
        <v>166</v>
      </c>
      <c r="C96" s="100">
        <v>0</v>
      </c>
      <c r="D96" s="100">
        <v>0</v>
      </c>
      <c r="E96" s="100">
        <v>0</v>
      </c>
      <c r="F96" s="100">
        <v>0</v>
      </c>
      <c r="G96" s="100">
        <v>0</v>
      </c>
      <c r="H96" s="100">
        <v>0</v>
      </c>
      <c r="I96" s="100">
        <v>0</v>
      </c>
      <c r="J96" s="100">
        <v>0</v>
      </c>
      <c r="K96" s="100">
        <v>0</v>
      </c>
      <c r="L96" s="100">
        <v>0</v>
      </c>
      <c r="M96" s="100">
        <v>0</v>
      </c>
      <c r="N96" s="100">
        <v>0</v>
      </c>
    </row>
    <row r="97" spans="1:14" ht="15" thickBot="1" x14ac:dyDescent="0.35">
      <c r="B97" s="93" t="s">
        <v>178</v>
      </c>
      <c r="C97" s="94">
        <v>1973.5214571020078</v>
      </c>
      <c r="D97" s="94">
        <v>2218.408077501304</v>
      </c>
      <c r="E97" s="94">
        <v>2473.9896979005998</v>
      </c>
      <c r="F97" s="94">
        <v>2741.3457165334726</v>
      </c>
      <c r="G97" s="94">
        <v>3028.9317351663453</v>
      </c>
      <c r="H97" s="94">
        <v>3324.7577537992183</v>
      </c>
      <c r="I97" s="94">
        <v>3635.7342933606628</v>
      </c>
      <c r="J97" s="94">
        <v>3971.2558329221065</v>
      </c>
      <c r="K97" s="94">
        <v>4338.3673724835508</v>
      </c>
      <c r="L97" s="94">
        <v>4764.3689120449953</v>
      </c>
      <c r="M97" s="94">
        <v>5217.4704516064394</v>
      </c>
      <c r="N97" s="94">
        <v>5699.766991167884</v>
      </c>
    </row>
    <row r="98" spans="1:14" ht="15" thickTop="1" x14ac:dyDescent="0.3"/>
    <row r="99" spans="1:14" x14ac:dyDescent="0.3">
      <c r="B99" s="90" t="s">
        <v>184</v>
      </c>
      <c r="C99" s="90"/>
      <c r="D99" s="90"/>
      <c r="E99" s="90"/>
      <c r="F99" s="90"/>
      <c r="G99" s="90"/>
      <c r="H99" s="90"/>
      <c r="I99" s="90"/>
      <c r="J99" s="90"/>
      <c r="K99" s="90"/>
      <c r="L99" s="90"/>
      <c r="M99" s="90"/>
      <c r="N99" s="90"/>
    </row>
    <row r="100" spans="1:14" x14ac:dyDescent="0.3">
      <c r="A100" s="90" t="s">
        <v>185</v>
      </c>
      <c r="B100" s="90" t="s">
        <v>186</v>
      </c>
    </row>
    <row r="101" spans="1:14" x14ac:dyDescent="0.3">
      <c r="C101" s="91">
        <v>43466</v>
      </c>
      <c r="D101" s="91">
        <v>43497</v>
      </c>
      <c r="E101" s="91">
        <v>43525</v>
      </c>
      <c r="F101" s="91">
        <v>43556</v>
      </c>
      <c r="G101" s="91">
        <v>43586</v>
      </c>
      <c r="H101" s="91">
        <v>43617</v>
      </c>
      <c r="I101" s="91">
        <v>43647</v>
      </c>
      <c r="J101" s="91">
        <v>43678</v>
      </c>
      <c r="K101" s="91">
        <v>43709</v>
      </c>
      <c r="L101" s="91">
        <v>43739</v>
      </c>
      <c r="M101" s="91">
        <v>43770</v>
      </c>
      <c r="N101" s="91">
        <v>43800</v>
      </c>
    </row>
    <row r="103" spans="1:14" x14ac:dyDescent="0.3">
      <c r="B103" t="s">
        <v>187</v>
      </c>
      <c r="C103" s="100">
        <v>5774.6268925269069</v>
      </c>
      <c r="D103" s="100">
        <v>6101.7340065743829</v>
      </c>
      <c r="E103" s="100">
        <v>6432.6605447094516</v>
      </c>
      <c r="F103" s="100">
        <v>6783.2609566526098</v>
      </c>
      <c r="G103" s="100">
        <v>7153.7736026837219</v>
      </c>
      <c r="H103" s="100">
        <v>7537.4536918039103</v>
      </c>
      <c r="I103" s="100">
        <v>7958.7027400581883</v>
      </c>
      <c r="J103" s="100">
        <v>8415.5866380714542</v>
      </c>
      <c r="K103" s="100">
        <v>8922.5358322597149</v>
      </c>
      <c r="L103" s="100">
        <v>9463.9424204687912</v>
      </c>
      <c r="M103" s="100">
        <v>10029.976430621286</v>
      </c>
      <c r="N103" s="100">
        <v>10643.488171092189</v>
      </c>
    </row>
    <row r="104" spans="1:14" x14ac:dyDescent="0.3">
      <c r="B104" t="s">
        <v>188</v>
      </c>
      <c r="C104" s="100">
        <v>1528.2557201714276</v>
      </c>
      <c r="D104" s="100">
        <v>1616.1530358345058</v>
      </c>
      <c r="E104" s="100">
        <v>1707.0497188941777</v>
      </c>
      <c r="F104" s="100">
        <v>1802.2979190963911</v>
      </c>
      <c r="G104" s="100">
        <v>1904.212361638346</v>
      </c>
      <c r="H104" s="100">
        <v>2010.3143566237159</v>
      </c>
      <c r="I104" s="100">
        <v>2126.1867367610471</v>
      </c>
      <c r="J104" s="100">
        <v>2251.9638388940002</v>
      </c>
      <c r="K104" s="100">
        <v>2395.0621760084296</v>
      </c>
      <c r="L104" s="100">
        <v>2547.49055419469</v>
      </c>
      <c r="M104" s="100">
        <v>2710.6378316524633</v>
      </c>
      <c r="N104" s="100">
        <v>2886.2011928174525</v>
      </c>
    </row>
    <row r="105" spans="1:14" x14ac:dyDescent="0.3">
      <c r="B105" t="s">
        <v>189</v>
      </c>
      <c r="C105" s="100">
        <v>358.6361</v>
      </c>
      <c r="D105" s="100">
        <v>379.36089999999996</v>
      </c>
      <c r="E105" s="100">
        <v>400.32930000000005</v>
      </c>
      <c r="F105" s="100">
        <v>422.63070000000005</v>
      </c>
      <c r="G105" s="100">
        <v>446.18030000000005</v>
      </c>
      <c r="H105" s="100">
        <v>470.74699999999996</v>
      </c>
      <c r="I105" s="100">
        <v>497.673</v>
      </c>
      <c r="J105" s="100">
        <v>527.06569999999999</v>
      </c>
      <c r="K105" s="100">
        <v>558.97</v>
      </c>
      <c r="L105" s="100">
        <v>593.09129999999993</v>
      </c>
      <c r="M105" s="100">
        <v>629.04420000000005</v>
      </c>
      <c r="N105" s="100">
        <v>667.98199999999997</v>
      </c>
    </row>
    <row r="106" spans="1:14" ht="15" thickBot="1" x14ac:dyDescent="0.35">
      <c r="B106" s="93" t="s">
        <v>190</v>
      </c>
      <c r="C106" s="94">
        <v>7661.5187126983346</v>
      </c>
      <c r="D106" s="94">
        <v>8097.2479424088888</v>
      </c>
      <c r="E106" s="94">
        <v>8540.0395636036283</v>
      </c>
      <c r="F106" s="94">
        <v>9008.1895757490001</v>
      </c>
      <c r="G106" s="94">
        <v>9504.1662643220679</v>
      </c>
      <c r="H106" s="94">
        <v>10018.515048427626</v>
      </c>
      <c r="I106" s="94">
        <v>10582.562476819236</v>
      </c>
      <c r="J106" s="94">
        <v>11194.616176965454</v>
      </c>
      <c r="K106" s="94">
        <v>11876.568008268145</v>
      </c>
      <c r="L106" s="94">
        <v>12604.524274663481</v>
      </c>
      <c r="M106" s="94">
        <v>13369.65846227375</v>
      </c>
      <c r="N106" s="94">
        <v>14197.671363909642</v>
      </c>
    </row>
    <row r="107" spans="1:14" ht="15" thickTop="1" x14ac:dyDescent="0.3"/>
    <row r="108" spans="1:14" x14ac:dyDescent="0.3">
      <c r="A108" s="90" t="s">
        <v>191</v>
      </c>
      <c r="B108" s="90" t="s">
        <v>192</v>
      </c>
    </row>
    <row r="109" spans="1:14" x14ac:dyDescent="0.3">
      <c r="C109" s="91">
        <v>43466</v>
      </c>
      <c r="D109" s="91">
        <v>43497</v>
      </c>
      <c r="E109" s="91">
        <v>43525</v>
      </c>
      <c r="F109" s="91">
        <v>43556</v>
      </c>
      <c r="G109" s="91">
        <v>43586</v>
      </c>
      <c r="H109" s="91">
        <v>43617</v>
      </c>
      <c r="I109" s="91">
        <v>43647</v>
      </c>
      <c r="J109" s="91">
        <v>43678</v>
      </c>
      <c r="K109" s="91">
        <v>43709</v>
      </c>
      <c r="L109" s="91">
        <v>43739</v>
      </c>
      <c r="M109" s="91">
        <v>43770</v>
      </c>
      <c r="N109" s="91">
        <v>43800</v>
      </c>
    </row>
    <row r="110" spans="1:14" x14ac:dyDescent="0.3">
      <c r="C110" s="90" t="s">
        <v>170</v>
      </c>
      <c r="D110" s="90" t="s">
        <v>170</v>
      </c>
      <c r="E110" s="90" t="s">
        <v>170</v>
      </c>
      <c r="F110" s="90" t="s">
        <v>170</v>
      </c>
      <c r="G110" s="90" t="s">
        <v>170</v>
      </c>
      <c r="H110" s="90" t="s">
        <v>170</v>
      </c>
      <c r="I110" s="90" t="s">
        <v>170</v>
      </c>
      <c r="J110" s="90" t="s">
        <v>170</v>
      </c>
      <c r="K110" s="90" t="s">
        <v>170</v>
      </c>
      <c r="L110" s="90" t="s">
        <v>170</v>
      </c>
      <c r="M110" s="90" t="s">
        <v>170</v>
      </c>
      <c r="N110" s="90" t="s">
        <v>170</v>
      </c>
    </row>
    <row r="111" spans="1:14" x14ac:dyDescent="0.3">
      <c r="B111" t="s">
        <v>187</v>
      </c>
      <c r="C111" s="95">
        <v>1004.3939238994692</v>
      </c>
      <c r="D111" s="95">
        <v>1061.3403213602717</v>
      </c>
      <c r="E111" s="95">
        <v>1119.2508207819612</v>
      </c>
      <c r="F111" s="95">
        <v>1180.4614702917675</v>
      </c>
      <c r="G111" s="95">
        <v>1244.7413567362939</v>
      </c>
      <c r="H111" s="95">
        <v>1312.1942731626561</v>
      </c>
      <c r="I111" s="95">
        <v>1385.7509553874286</v>
      </c>
      <c r="J111" s="95">
        <v>1465.8356012253346</v>
      </c>
      <c r="K111" s="95">
        <v>1554.0429302995656</v>
      </c>
      <c r="L111" s="95">
        <v>1648.6264715379641</v>
      </c>
      <c r="M111" s="95">
        <v>1747.4462734389524</v>
      </c>
      <c r="N111" s="95">
        <v>1854.3274776126041</v>
      </c>
    </row>
    <row r="112" spans="1:14" x14ac:dyDescent="0.3">
      <c r="B112" t="s">
        <v>188</v>
      </c>
      <c r="C112" s="95">
        <v>805.89552459144329</v>
      </c>
      <c r="D112" s="95">
        <v>853.82656473136001</v>
      </c>
      <c r="E112" s="95">
        <v>903.46268861684302</v>
      </c>
      <c r="F112" s="95">
        <v>955.59694699539057</v>
      </c>
      <c r="G112" s="95">
        <v>1011.8028940321082</v>
      </c>
      <c r="H112" s="95">
        <v>1069.9430912214268</v>
      </c>
      <c r="I112" s="95">
        <v>1133.7246509310837</v>
      </c>
      <c r="J112" s="95">
        <v>1202.879165347402</v>
      </c>
      <c r="K112" s="95">
        <v>1282.1953698905079</v>
      </c>
      <c r="L112" s="95">
        <v>1366.5554524245138</v>
      </c>
      <c r="M112" s="95">
        <v>1457.342781624425</v>
      </c>
      <c r="N112" s="95">
        <v>1555.2107279509919</v>
      </c>
    </row>
    <row r="113" spans="2:14" x14ac:dyDescent="0.3">
      <c r="B113" t="s">
        <v>189</v>
      </c>
      <c r="C113" s="95">
        <v>6223.2145082408979</v>
      </c>
      <c r="D113" s="95">
        <v>6614.4727568465923</v>
      </c>
      <c r="E113" s="95">
        <v>7008.3204448004972</v>
      </c>
      <c r="F113" s="95">
        <v>7432.2566817049137</v>
      </c>
      <c r="G113" s="95">
        <v>7887.0379433352164</v>
      </c>
      <c r="H113" s="95">
        <v>8350.5830682785017</v>
      </c>
      <c r="I113" s="95">
        <v>8867.644624210945</v>
      </c>
      <c r="J113" s="95">
        <v>9432.4204677656489</v>
      </c>
      <c r="K113" s="95">
        <v>10057.019393505816</v>
      </c>
      <c r="L113" s="95">
        <v>10719.226669791469</v>
      </c>
      <c r="M113" s="95">
        <v>11428.624343939957</v>
      </c>
      <c r="N113" s="95">
        <v>12197.672436444869</v>
      </c>
    </row>
    <row r="114" spans="2:14" ht="15" thickBot="1" x14ac:dyDescent="0.35">
      <c r="B114" s="93" t="s">
        <v>190</v>
      </c>
      <c r="C114" s="96">
        <v>8033.5039567318108</v>
      </c>
      <c r="D114" s="96">
        <v>8529.6396429382239</v>
      </c>
      <c r="E114" s="96">
        <v>9031.0339541993017</v>
      </c>
      <c r="F114" s="96">
        <v>9568.3150989920723</v>
      </c>
      <c r="G114" s="96">
        <v>10143.582194103619</v>
      </c>
      <c r="H114" s="96">
        <v>10732.720432662585</v>
      </c>
      <c r="I114" s="96">
        <v>11387.120230529457</v>
      </c>
      <c r="J114" s="96">
        <v>12101.135234338386</v>
      </c>
      <c r="K114" s="96">
        <v>12893.25769369589</v>
      </c>
      <c r="L114" s="96">
        <v>13734.408593753948</v>
      </c>
      <c r="M114" s="96">
        <v>14633.413399003333</v>
      </c>
      <c r="N114" s="96">
        <v>15607.210642008466</v>
      </c>
    </row>
    <row r="115" spans="2:14" ht="15" thickTop="1" x14ac:dyDescent="0.3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B2:I20"/>
  <sheetViews>
    <sheetView workbookViewId="0">
      <selection activeCell="E2" sqref="E2"/>
    </sheetView>
  </sheetViews>
  <sheetFormatPr defaultColWidth="8.88671875" defaultRowHeight="14.4" x14ac:dyDescent="0.3"/>
  <sheetData>
    <row r="2" spans="2:9" x14ac:dyDescent="0.3">
      <c r="B2">
        <v>17</v>
      </c>
      <c r="D2" t="s">
        <v>27</v>
      </c>
      <c r="E2" s="30">
        <f>(DailyReportTotal!H12)*2</f>
        <v>0.89109400000000005</v>
      </c>
      <c r="F2">
        <v>35</v>
      </c>
    </row>
    <row r="3" spans="2:9" x14ac:dyDescent="0.3">
      <c r="H3" t="s">
        <v>28</v>
      </c>
      <c r="I3" s="31">
        <v>0.2</v>
      </c>
    </row>
    <row r="4" spans="2:9" x14ac:dyDescent="0.3">
      <c r="H4" t="s">
        <v>29</v>
      </c>
      <c r="I4" s="31">
        <v>0.1</v>
      </c>
    </row>
    <row r="5" spans="2:9" x14ac:dyDescent="0.3">
      <c r="H5" t="s">
        <v>30</v>
      </c>
      <c r="I5" s="31">
        <f>1-I4-I3</f>
        <v>0.7</v>
      </c>
    </row>
    <row r="6" spans="2:9" x14ac:dyDescent="0.3">
      <c r="D6" s="29">
        <f>MAX(0,E2-1%)</f>
        <v>0.88109400000000004</v>
      </c>
      <c r="E6" s="29">
        <f>IF($D$6&lt;I3,D6,I3)</f>
        <v>0.2</v>
      </c>
      <c r="F6" s="32">
        <f t="shared" ref="F6:F16" si="0">E6</f>
        <v>0.2</v>
      </c>
      <c r="G6" s="33">
        <v>5.0000000000000001E-3</v>
      </c>
      <c r="I6" s="31">
        <f>SUM(I3:I5)</f>
        <v>1</v>
      </c>
    </row>
    <row r="7" spans="2:9" x14ac:dyDescent="0.3">
      <c r="B7">
        <v>5</v>
      </c>
      <c r="D7" s="29">
        <v>0.01</v>
      </c>
      <c r="E7" s="29">
        <f>IF($D$6&lt;I3,1%,0)</f>
        <v>0</v>
      </c>
      <c r="F7" s="32">
        <f t="shared" si="0"/>
        <v>0</v>
      </c>
      <c r="G7" s="33">
        <v>0.01</v>
      </c>
    </row>
    <row r="8" spans="2:9" x14ac:dyDescent="0.3">
      <c r="B8">
        <v>10</v>
      </c>
      <c r="D8" s="29">
        <f>1-SUM(D6:D7)</f>
        <v>0.10890599999999995</v>
      </c>
      <c r="E8" s="29">
        <f>I3-E7-E6</f>
        <v>0</v>
      </c>
      <c r="F8" s="32">
        <f t="shared" si="0"/>
        <v>0</v>
      </c>
      <c r="G8" s="33">
        <v>0.01</v>
      </c>
    </row>
    <row r="9" spans="2:9" x14ac:dyDescent="0.3">
      <c r="B9">
        <v>15</v>
      </c>
      <c r="D9" s="32">
        <f>SUM(D6:D8)</f>
        <v>1</v>
      </c>
      <c r="E9" s="29">
        <f>IF(E10=1%,D6-I3,I4)</f>
        <v>0.1</v>
      </c>
      <c r="F9" s="32">
        <f t="shared" si="0"/>
        <v>0.1</v>
      </c>
      <c r="G9" s="33">
        <v>0.01</v>
      </c>
    </row>
    <row r="10" spans="2:9" x14ac:dyDescent="0.3">
      <c r="B10">
        <v>20</v>
      </c>
      <c r="D10" s="32"/>
      <c r="E10" s="29">
        <f>IF(AND(D6&gt;=I3,D6&lt;I4+I3),1%,0)</f>
        <v>0</v>
      </c>
      <c r="F10" s="32">
        <f t="shared" si="0"/>
        <v>0</v>
      </c>
      <c r="G10" s="33">
        <v>0.01</v>
      </c>
    </row>
    <row r="11" spans="2:9" x14ac:dyDescent="0.3">
      <c r="B11">
        <v>25</v>
      </c>
      <c r="D11" s="32"/>
      <c r="E11" s="29">
        <f>I4-E9-E10</f>
        <v>0</v>
      </c>
      <c r="F11" s="32">
        <f t="shared" si="0"/>
        <v>0</v>
      </c>
      <c r="G11" s="33">
        <v>0.01</v>
      </c>
    </row>
    <row r="12" spans="2:9" x14ac:dyDescent="0.3">
      <c r="B12">
        <v>30</v>
      </c>
      <c r="D12" s="32"/>
      <c r="E12" s="29">
        <f>IF(E13=1%,D6-I4-I3,I5)</f>
        <v>0.581094</v>
      </c>
      <c r="F12" s="32">
        <f t="shared" si="0"/>
        <v>0.581094</v>
      </c>
      <c r="G12" s="33">
        <v>0.01</v>
      </c>
    </row>
    <row r="13" spans="2:9" x14ac:dyDescent="0.3">
      <c r="B13">
        <v>35</v>
      </c>
      <c r="D13" s="32"/>
      <c r="E13" s="29">
        <f>IF(D6&gt;=I3+I4,1%,0)</f>
        <v>0.01</v>
      </c>
      <c r="F13" s="32">
        <f t="shared" si="0"/>
        <v>0.01</v>
      </c>
      <c r="G13" s="33">
        <v>0.01</v>
      </c>
    </row>
    <row r="14" spans="2:9" x14ac:dyDescent="0.3">
      <c r="B14">
        <v>40</v>
      </c>
      <c r="D14" s="32"/>
      <c r="E14" s="29">
        <f>I5-E13-E12</f>
        <v>0.10890599999999995</v>
      </c>
      <c r="F14" s="32">
        <f t="shared" si="0"/>
        <v>0.10890599999999995</v>
      </c>
      <c r="G14" s="33">
        <v>0.01</v>
      </c>
    </row>
    <row r="15" spans="2:9" x14ac:dyDescent="0.3">
      <c r="B15">
        <v>45</v>
      </c>
      <c r="D15" s="32"/>
      <c r="E15" s="29">
        <f>SUM(E6:E14)</f>
        <v>1</v>
      </c>
      <c r="F15" s="32">
        <f t="shared" si="0"/>
        <v>1</v>
      </c>
      <c r="G15" s="33">
        <v>0.01</v>
      </c>
    </row>
    <row r="16" spans="2:9" x14ac:dyDescent="0.3">
      <c r="B16">
        <v>50</v>
      </c>
      <c r="D16" s="32"/>
      <c r="E16" s="32"/>
      <c r="F16" s="32">
        <f t="shared" si="0"/>
        <v>0</v>
      </c>
      <c r="G16" s="33">
        <v>0.01</v>
      </c>
    </row>
    <row r="17" spans="7:7" x14ac:dyDescent="0.3">
      <c r="G17" s="33">
        <f>SUM(G7:G16)</f>
        <v>9.9999999999999992E-2</v>
      </c>
    </row>
    <row r="18" spans="7:7" x14ac:dyDescent="0.3">
      <c r="G18" s="33"/>
    </row>
    <row r="19" spans="7:7" x14ac:dyDescent="0.3">
      <c r="G19" s="33"/>
    </row>
    <row r="20" spans="7:7" x14ac:dyDescent="0.3">
      <c r="G20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Scroll Bar 1">
              <controlPr defaultSize="0" autoPict="0">
                <anchor moveWithCells="1">
                  <from>
                    <xdr:col>0</xdr:col>
                    <xdr:colOff>0</xdr:colOff>
                    <xdr:row>28</xdr:row>
                    <xdr:rowOff>7620</xdr:rowOff>
                  </from>
                  <to>
                    <xdr:col>4</xdr:col>
                    <xdr:colOff>22860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4" name="Scroll Bar 3">
              <controlPr defaultSize="0" autoPict="0">
                <anchor moveWithCells="1">
                  <from>
                    <xdr:col>0</xdr:col>
                    <xdr:colOff>0</xdr:colOff>
                    <xdr:row>28</xdr:row>
                    <xdr:rowOff>7620</xdr:rowOff>
                  </from>
                  <to>
                    <xdr:col>4</xdr:col>
                    <xdr:colOff>22860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5" name="Scroll Bar 4">
              <controlPr defaultSize="0" autoPict="0">
                <anchor moveWithCells="1">
                  <from>
                    <xdr:col>1</xdr:col>
                    <xdr:colOff>198120</xdr:colOff>
                    <xdr:row>28</xdr:row>
                    <xdr:rowOff>7620</xdr:rowOff>
                  </from>
                  <to>
                    <xdr:col>5</xdr:col>
                    <xdr:colOff>152400</xdr:colOff>
                    <xdr:row>29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6" name="Spinner 5">
              <controlPr defaultSize="0" autoPict="0">
                <anchor moveWithCells="1" sizeWithCells="1">
                  <from>
                    <xdr:col>5</xdr:col>
                    <xdr:colOff>342900</xdr:colOff>
                    <xdr:row>2</xdr:row>
                    <xdr:rowOff>45720</xdr:rowOff>
                  </from>
                  <to>
                    <xdr:col>6</xdr:col>
                    <xdr:colOff>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Parameters</vt:lpstr>
      <vt:lpstr>DailyReportTotal</vt:lpstr>
      <vt:lpstr>DailyReportPerBranch</vt:lpstr>
      <vt:lpstr>Consolidated Graphs</vt:lpstr>
      <vt:lpstr>DelinquencyPerSector</vt:lpstr>
      <vt:lpstr>PAR30</vt:lpstr>
      <vt:lpstr>PAR90</vt:lpstr>
      <vt:lpstr>Performance Projection</vt:lpstr>
      <vt:lpstr>PAR1</vt:lpstr>
      <vt:lpstr>NM_COMPULSERY_SAVING</vt:lpstr>
      <vt:lpstr>NM_DB_NAME_DAILY_CONSO</vt:lpstr>
      <vt:lpstr>NM_DB_NAME_DAILY_DOWNTOWN</vt:lpstr>
      <vt:lpstr>NM_DB_SERVER</vt:lpstr>
      <vt:lpstr>NM_OTHER_SAVINGS_ACCOUNT</vt:lpstr>
      <vt:lpstr>NM_REG_SAVINGS</vt:lpstr>
      <vt:lpstr>NM_TERM_DEPOSIT</vt:lpstr>
      <vt:lpstr>PREV_DATE</vt:lpstr>
      <vt:lpstr>'Consolidated Graphs'!Print_Area</vt:lpstr>
      <vt:lpstr>TODATE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Lafond Claude</dc:creator>
  <cp:lastModifiedBy>Ian Mujjukizi</cp:lastModifiedBy>
  <cp:lastPrinted>2018-11-23T04:47:47Z</cp:lastPrinted>
  <dcterms:created xsi:type="dcterms:W3CDTF">2009-11-02T09:58:57Z</dcterms:created>
  <dcterms:modified xsi:type="dcterms:W3CDTF">2022-01-11T10:59:19Z</dcterms:modified>
</cp:coreProperties>
</file>